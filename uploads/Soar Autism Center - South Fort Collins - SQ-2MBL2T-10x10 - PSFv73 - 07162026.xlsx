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codeName="ThisWorkbook" defaultThemeVersion="166925"/>
  <mc:AlternateContent xmlns:mc="http://schemas.openxmlformats.org/markup-compatibility/2006">
    <mc:Choice Requires="x15">
      <x15ac:absPath xmlns:x15ac="http://schemas.microsoft.com/office/spreadsheetml/2010/11/ac" url="C:\Users\BryanShepher_trods5k\Downloads\"/>
    </mc:Choice>
  </mc:AlternateContent>
  <xr:revisionPtr revIDLastSave="0" documentId="8_{E9C9AB32-8B77-4C34-8519-8DAE65AC8F4C}" xr6:coauthVersionLast="47" xr6:coauthVersionMax="47" xr10:uidLastSave="{00000000-0000-0000-0000-000000000000}"/>
  <bookViews>
    <workbookView xWindow="-28920" yWindow="1725" windowWidth="29040" windowHeight="15720" activeTab="5" xr2:uid="{8680129E-22C5-472D-98B2-1CFE62634E1C}"/>
  </bookViews>
  <sheets>
    <sheet name="Discovery" sheetId="1" r:id="rId1"/>
    <sheet name="VLOOKUP" sheetId="26" r:id="rId2"/>
    <sheet name="Calcs" sheetId="6" r:id="rId3"/>
    <sheet name="Goldberg Order Details" sheetId="14" r:id="rId4"/>
    <sheet name="Sensory Space Proposal" sheetId="43" r:id="rId5"/>
    <sheet name="Adventure Series Proposal (USA)" sheetId="8" r:id="rId6"/>
    <sheet name="LOAN CALC - INCLUDE" sheetId="31" r:id="rId7"/>
    <sheet name="Adventure Series Proposal (CAN)" sheetId="44" r:id="rId8"/>
    <sheet name="Summit Flex Proposal" sheetId="23" r:id="rId9"/>
    <sheet name="Flex Pro-Pack" sheetId="33" r:id="rId10"/>
    <sheet name="VLOOKUP - Soar" sheetId="29" r:id="rId11"/>
    <sheet name="Summit Soar Proposal" sheetId="24" r:id="rId12"/>
    <sheet name="Summit Scape Proposal" sheetId="34" r:id="rId13"/>
    <sheet name="TrolleyPO" sheetId="13" r:id="rId14"/>
    <sheet name="lists" sheetId="5" r:id="rId15"/>
    <sheet name="ZAPIER" sheetId="28" r:id="rId16"/>
    <sheet name="Estimated Dates" sheetId="27" r:id="rId17"/>
    <sheet name="Payment Schedule" sheetId="36" r:id="rId18"/>
    <sheet name="Resilite Mat Cost List" sheetId="35" r:id="rId19"/>
    <sheet name="Travel Proposal" sheetId="40" r:id="rId20"/>
    <sheet name="Outsourced Install Calc" sheetId="41" r:id="rId21"/>
  </sheets>
  <externalReferences>
    <externalReference r:id="rId22"/>
  </externalReferences>
  <definedNames>
    <definedName name="_xlnm._FilterDatabase" localSheetId="7" hidden="1">'Adventure Series Proposal (CAN)'!$B$19:$H$202</definedName>
    <definedName name="_xlnm._FilterDatabase" localSheetId="5" hidden="1">'Adventure Series Proposal (USA)'!$F$19:$H$239</definedName>
    <definedName name="_xlnm._FilterDatabase" localSheetId="9" hidden="1">'Flex Pro-Pack'!$F$21:$H$63</definedName>
    <definedName name="_xlnm._FilterDatabase" localSheetId="4" hidden="1">'Sensory Space Proposal'!$F$18:$H$200</definedName>
    <definedName name="_xlnm._FilterDatabase" localSheetId="8" hidden="1">'Summit Flex Proposal'!$F$20:$H$79</definedName>
    <definedName name="_xlnm._FilterDatabase" localSheetId="12" hidden="1">'Summit Scape Proposal'!$F$19:$H$57</definedName>
    <definedName name="_xlnm._FilterDatabase" localSheetId="11" hidden="1">'Summit Soar Proposal'!$F$19:$F$55</definedName>
    <definedName name="_xlnm._FilterDatabase" localSheetId="19" hidden="1">'Travel Proposal'!$F$19:$H$201</definedName>
    <definedName name="_xlnm._FilterDatabase" localSheetId="13" hidden="1">TrolleyPO!$A$20:$E$35</definedName>
    <definedName name="EndingBalance">-FV(InterestRate/12,PaymentNumber,-MonthlyPayment,LoanAmount)</definedName>
    <definedName name="Fabricator">lists!$K$2:$L$2</definedName>
    <definedName name="Gym_Package">lists!$C$2:$C$5</definedName>
    <definedName name="Gym_Shape">lists!$B$2:$B$4</definedName>
    <definedName name="Gym_Type">lists!$A$2:$A$4</definedName>
    <definedName name="HeaderRow">ROW(#REF!)</definedName>
    <definedName name="InterestAmt">-IPMT(InterestRate/12,PaymentNumber,NumberOfPayments,LoanAmount)</definedName>
    <definedName name="InterestRate">#REF!</definedName>
    <definedName name="LastRow">MATCH(9.99E+307,#REF!)</definedName>
    <definedName name="LoanAmount">#REF!</definedName>
    <definedName name="LoanIsGood">IF(LoanAmount*InterestRate*LoanYears*LoanStartDate&gt;0,1,0)</definedName>
    <definedName name="LoanIsNotPaid">IF(PaymentNumber&lt;=NumberOfPayments,1,0)</definedName>
    <definedName name="LoanStartDate">#REF!</definedName>
    <definedName name="LoanValue">-FV(InterestRate/12,PaymentNumber-1,-MonthlyPayment,LoanAmount)</definedName>
    <definedName name="LoanYears">#REF!</definedName>
    <definedName name="MonthlyPayment">-PMT(InterestRate/12,NumberOfPayments,LoanAmount)</definedName>
    <definedName name="NumberOfPayments">#REF!</definedName>
    <definedName name="PaymentDate">DATE(YEAR(LoanStartDate),MONTH(LoanStartDate)+PaymentNumber,DAY(LoanStartDate))</definedName>
    <definedName name="PaymentNumber">ROW()-HeaderRow</definedName>
    <definedName name="Powder_Brand">#REF!</definedName>
    <definedName name="Principal">-PPMT(InterestRate/12,PaymentNumber,NumberOfPayments,LoanAmount)</definedName>
    <definedName name="_xlnm.Print_Area" localSheetId="7">'Adventure Series Proposal (CAN)'!$A$1:$I$252</definedName>
    <definedName name="_xlnm.Print_Area" localSheetId="5">'Adventure Series Proposal (USA)'!$A$1:$I$255</definedName>
    <definedName name="_xlnm.Print_Area" localSheetId="9">'Flex Pro-Pack'!$B$1:$H$81</definedName>
    <definedName name="_xlnm.Print_Area" localSheetId="4">'Sensory Space Proposal'!$A$1:$I$216</definedName>
    <definedName name="_xlnm.Print_Area" localSheetId="8">'Summit Flex Proposal'!$B$1:$H$89</definedName>
    <definedName name="_xlnm.Print_Area" localSheetId="12">'Summit Scape Proposal'!$B$1:$H$63</definedName>
    <definedName name="_xlnm.Print_Area" localSheetId="11">'Summit Soar Proposal'!$B$1:$H$73</definedName>
    <definedName name="_xlnm.Print_Area" localSheetId="19">'Travel Proposal'!$A$1:$I$217</definedName>
    <definedName name="Shields">lists!$D$2:$D$3</definedName>
    <definedName name="TotalLoanCo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4" i="8" l="1"/>
  <c r="H234" i="8"/>
  <c r="H228" i="8"/>
  <c r="H231" i="8"/>
  <c r="F233" i="8"/>
  <c r="H235" i="8"/>
  <c r="H236" i="8"/>
  <c r="H237" i="8"/>
  <c r="G47" i="6"/>
  <c r="G46" i="6"/>
  <c r="G45" i="6"/>
  <c r="G44" i="6"/>
  <c r="G43" i="6"/>
  <c r="G42" i="6"/>
  <c r="G41" i="6"/>
  <c r="G40" i="6"/>
  <c r="G39" i="6"/>
  <c r="D29" i="14"/>
  <c r="F29" i="14"/>
  <c r="F28" i="14"/>
  <c r="C29" i="14"/>
  <c r="C88" i="14"/>
  <c r="G143" i="6"/>
  <c r="E57" i="6"/>
  <c r="F57" i="6"/>
  <c r="V32" i="35"/>
  <c r="V27" i="35"/>
  <c r="T32" i="35"/>
  <c r="T27" i="35"/>
  <c r="L244" i="6"/>
  <c r="L243" i="6"/>
  <c r="L236" i="6"/>
  <c r="L235" i="6"/>
  <c r="L234" i="6"/>
  <c r="L233" i="6"/>
  <c r="L188" i="6"/>
  <c r="L174" i="6"/>
  <c r="L175" i="6"/>
  <c r="L166" i="6"/>
  <c r="L165" i="6"/>
  <c r="L164" i="6"/>
  <c r="L163" i="6"/>
  <c r="L162" i="6"/>
  <c r="L161" i="6"/>
  <c r="L159" i="6"/>
  <c r="L51" i="6"/>
  <c r="G72" i="6"/>
  <c r="H166" i="6"/>
  <c r="I166" i="6"/>
  <c r="J166" i="6"/>
  <c r="K166" i="6"/>
  <c r="M166" i="6"/>
  <c r="I54" i="35"/>
  <c r="I55" i="35"/>
  <c r="I56" i="35"/>
  <c r="I50" i="35"/>
  <c r="I51" i="35"/>
  <c r="I52" i="35"/>
  <c r="I53" i="35"/>
  <c r="R53" i="35"/>
  <c r="H53" i="35"/>
  <c r="G53" i="35"/>
  <c r="N53" i="35"/>
  <c r="O53" i="35"/>
  <c r="F53" i="35"/>
  <c r="D53" i="35"/>
  <c r="C53" i="35"/>
  <c r="B86" i="6"/>
  <c r="B87" i="6"/>
  <c r="B88" i="6"/>
  <c r="B89" i="6"/>
  <c r="B90" i="6"/>
  <c r="B91" i="6"/>
  <c r="B92" i="6"/>
  <c r="B93" i="6"/>
  <c r="B94" i="6"/>
  <c r="B95" i="6"/>
  <c r="B96" i="6"/>
  <c r="B97" i="6"/>
  <c r="B98" i="6"/>
  <c r="B99" i="6"/>
  <c r="I86" i="6"/>
  <c r="I87" i="6"/>
  <c r="I88" i="6"/>
  <c r="I89" i="6"/>
  <c r="I90" i="6"/>
  <c r="I91" i="6"/>
  <c r="I92" i="6"/>
  <c r="I93" i="6"/>
  <c r="I94" i="6"/>
  <c r="I95" i="6"/>
  <c r="I96" i="6"/>
  <c r="I97" i="6"/>
  <c r="I98" i="6"/>
  <c r="I99" i="6"/>
  <c r="M49" i="35"/>
  <c r="L49" i="35"/>
  <c r="N49" i="35" s="1"/>
  <c r="O49" i="35" s="1"/>
  <c r="G49" i="35"/>
  <c r="F49" i="35"/>
  <c r="M48" i="35"/>
  <c r="L48" i="35"/>
  <c r="N48" i="35" s="1"/>
  <c r="O48" i="35" s="1"/>
  <c r="G48" i="35"/>
  <c r="F48" i="35"/>
  <c r="M47" i="35"/>
  <c r="L47" i="35"/>
  <c r="N47" i="35" s="1"/>
  <c r="O47" i="35" s="1"/>
  <c r="G47" i="35"/>
  <c r="F47" i="35"/>
  <c r="M46" i="35"/>
  <c r="L46" i="35"/>
  <c r="N46" i="35" s="1"/>
  <c r="O46" i="35" s="1"/>
  <c r="G46" i="35"/>
  <c r="F46" i="35"/>
  <c r="M45" i="35"/>
  <c r="L45" i="35"/>
  <c r="N45" i="35" s="1"/>
  <c r="O45" i="35" s="1"/>
  <c r="G45" i="35"/>
  <c r="F45" i="35"/>
  <c r="M44" i="35"/>
  <c r="L44" i="35"/>
  <c r="N44" i="35" s="1"/>
  <c r="O44" i="35" s="1"/>
  <c r="G44" i="35"/>
  <c r="F44" i="35"/>
  <c r="M43" i="35"/>
  <c r="L43" i="35"/>
  <c r="N43" i="35" s="1"/>
  <c r="O43" i="35" s="1"/>
  <c r="G43" i="35"/>
  <c r="F43" i="35"/>
  <c r="M42" i="35"/>
  <c r="L42" i="35"/>
  <c r="N42" i="35" s="1"/>
  <c r="O42" i="35" s="1"/>
  <c r="G42" i="35"/>
  <c r="F42" i="35"/>
  <c r="M41" i="35"/>
  <c r="L41" i="35"/>
  <c r="N41" i="35" s="1"/>
  <c r="O41" i="35" s="1"/>
  <c r="G41" i="35"/>
  <c r="F41" i="35"/>
  <c r="M40" i="35"/>
  <c r="L40" i="35"/>
  <c r="N40" i="35" s="1"/>
  <c r="O40" i="35" s="1"/>
  <c r="G40" i="35"/>
  <c r="F40" i="35"/>
  <c r="M39" i="35"/>
  <c r="L39" i="35"/>
  <c r="N39" i="35" s="1"/>
  <c r="O39" i="35" s="1"/>
  <c r="G39" i="35"/>
  <c r="F39" i="35"/>
  <c r="M38" i="35"/>
  <c r="L38" i="35"/>
  <c r="N38" i="35" s="1"/>
  <c r="O38" i="35" s="1"/>
  <c r="G38" i="35"/>
  <c r="F38" i="35"/>
  <c r="M37" i="35"/>
  <c r="L37" i="35"/>
  <c r="N37" i="35" s="1"/>
  <c r="O37" i="35" s="1"/>
  <c r="G37" i="35"/>
  <c r="F37" i="35"/>
  <c r="M36" i="35"/>
  <c r="L36" i="35"/>
  <c r="N36" i="35" s="1"/>
  <c r="O36" i="35" s="1"/>
  <c r="G36" i="35"/>
  <c r="F36" i="35"/>
  <c r="C2" i="35"/>
  <c r="G23" i="35"/>
  <c r="G24" i="35"/>
  <c r="G25" i="35"/>
  <c r="G26" i="35"/>
  <c r="G27" i="35"/>
  <c r="G28" i="35"/>
  <c r="G29" i="35"/>
  <c r="G30" i="35"/>
  <c r="G31" i="35"/>
  <c r="G32" i="35"/>
  <c r="G33" i="35"/>
  <c r="G34" i="35"/>
  <c r="G35" i="35"/>
  <c r="G22" i="35"/>
  <c r="H156" i="6"/>
  <c r="I156" i="6"/>
  <c r="J156" i="6"/>
  <c r="K156" i="6"/>
  <c r="L156" i="6"/>
  <c r="M156" i="6" s="1"/>
  <c r="N156" i="6" s="1"/>
  <c r="B156" i="6"/>
  <c r="L69" i="6"/>
  <c r="L70" i="6"/>
  <c r="L68" i="6"/>
  <c r="F58" i="6" a="1"/>
  <c r="H120" i="6"/>
  <c r="L120" i="6" s="1"/>
  <c r="I120" i="6"/>
  <c r="J120" i="6"/>
  <c r="K120" i="6"/>
  <c r="M120" i="6"/>
  <c r="H121" i="6"/>
  <c r="L121" i="6" s="1"/>
  <c r="I121" i="6"/>
  <c r="J121" i="6"/>
  <c r="K121" i="6"/>
  <c r="M121" i="6"/>
  <c r="H122" i="6"/>
  <c r="L122" i="6" s="1"/>
  <c r="I122" i="6"/>
  <c r="J122" i="6"/>
  <c r="K122" i="6"/>
  <c r="M122" i="6"/>
  <c r="D12" i="13"/>
  <c r="H239" i="6"/>
  <c r="F239" i="6"/>
  <c r="E5" i="28"/>
  <c r="B72" i="8"/>
  <c r="L34" i="35"/>
  <c r="M34" i="35"/>
  <c r="N34" i="35"/>
  <c r="O34" i="35"/>
  <c r="L35" i="35"/>
  <c r="M35" i="35"/>
  <c r="N35" i="35"/>
  <c r="O35" i="35"/>
  <c r="F34" i="35"/>
  <c r="F35" i="35"/>
  <c r="J35" i="35" s="1"/>
  <c r="L31" i="35"/>
  <c r="M31" i="35"/>
  <c r="N31" i="35"/>
  <c r="O31" i="35"/>
  <c r="F31" i="35" s="1"/>
  <c r="J31" i="35" s="1"/>
  <c r="L32" i="35"/>
  <c r="M32" i="35"/>
  <c r="N32" i="35"/>
  <c r="O32" i="35"/>
  <c r="F32" i="35" s="1"/>
  <c r="J32" i="35" s="1"/>
  <c r="M23" i="35"/>
  <c r="M24" i="35"/>
  <c r="M25" i="35"/>
  <c r="M26" i="35"/>
  <c r="M27" i="35"/>
  <c r="M28" i="35"/>
  <c r="M29" i="35"/>
  <c r="M30" i="35"/>
  <c r="M33" i="35"/>
  <c r="L23" i="35"/>
  <c r="N23" i="35" s="1"/>
  <c r="O23" i="35" s="1"/>
  <c r="F23" i="35" s="1"/>
  <c r="J23" i="35" s="1"/>
  <c r="L24" i="35"/>
  <c r="N24" i="35" s="1"/>
  <c r="O24" i="35" s="1"/>
  <c r="F24" i="35" s="1"/>
  <c r="J24" i="35" s="1"/>
  <c r="L25" i="35"/>
  <c r="N25" i="35" s="1"/>
  <c r="O25" i="35" s="1"/>
  <c r="F25" i="35" s="1"/>
  <c r="J25" i="35" s="1"/>
  <c r="L26" i="35"/>
  <c r="N26" i="35" s="1"/>
  <c r="O26" i="35" s="1"/>
  <c r="F26" i="35" s="1"/>
  <c r="J26" i="35" s="1"/>
  <c r="L27" i="35"/>
  <c r="N27" i="35" s="1"/>
  <c r="O27" i="35" s="1"/>
  <c r="F27" i="35" s="1"/>
  <c r="J27" i="35" s="1"/>
  <c r="L28" i="35"/>
  <c r="N28" i="35" s="1"/>
  <c r="O28" i="35" s="1"/>
  <c r="F28" i="35" s="1"/>
  <c r="J28" i="35" s="1"/>
  <c r="L29" i="35"/>
  <c r="N29" i="35" s="1"/>
  <c r="O29" i="35" s="1"/>
  <c r="F29" i="35" s="1"/>
  <c r="J29" i="35" s="1"/>
  <c r="L30" i="35"/>
  <c r="N30" i="35" s="1"/>
  <c r="O30" i="35" s="1"/>
  <c r="F30" i="35" s="1"/>
  <c r="J30" i="35" s="1"/>
  <c r="L33" i="35"/>
  <c r="N33" i="35" s="1"/>
  <c r="O33" i="35" s="1"/>
  <c r="F33" i="35" s="1"/>
  <c r="J33" i="35" s="1"/>
  <c r="M22" i="35"/>
  <c r="L22" i="35"/>
  <c r="N22" i="35" s="1"/>
  <c r="O22" i="35"/>
  <c r="F22" i="35" s="1"/>
  <c r="J22" i="35" s="1"/>
  <c r="E7" i="6"/>
  <c r="G7" i="6"/>
  <c r="F3" i="26" a="1"/>
  <c r="B3" i="27"/>
  <c r="B2" i="27"/>
  <c r="E150" i="6"/>
  <c r="F150" i="6" s="1"/>
  <c r="B150" i="6" s="1"/>
  <c r="I163" i="6"/>
  <c r="G163" i="6"/>
  <c r="B163" i="6"/>
  <c r="H61" i="24"/>
  <c r="O54" i="5"/>
  <c r="N92" i="5"/>
  <c r="H219" i="6"/>
  <c r="F219" i="6"/>
  <c r="I219" i="6"/>
  <c r="C95" i="14"/>
  <c r="K218" i="44" a="1"/>
  <c r="H229" i="44"/>
  <c r="H228" i="44"/>
  <c r="K219" i="44" a="1"/>
  <c r="H214" i="44"/>
  <c r="H213" i="44"/>
  <c r="F187" i="44"/>
  <c r="H187" i="44" s="1"/>
  <c r="B51" i="44"/>
  <c r="H9" i="44"/>
  <c r="H11" i="44" s="1"/>
  <c r="L185" i="6"/>
  <c r="J103" i="6"/>
  <c r="K103" i="6" s="1"/>
  <c r="I103" i="6"/>
  <c r="H103" i="6"/>
  <c r="B16" i="29"/>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H196" i="43"/>
  <c r="H21" i="43"/>
  <c r="H22" i="43"/>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79" i="43"/>
  <c r="H80" i="43"/>
  <c r="H81" i="43"/>
  <c r="H82" i="43"/>
  <c r="H83" i="43"/>
  <c r="H84" i="43"/>
  <c r="H85" i="43"/>
  <c r="H86" i="43"/>
  <c r="H87" i="43"/>
  <c r="H88" i="43"/>
  <c r="H89" i="43"/>
  <c r="H90" i="43"/>
  <c r="H91" i="43"/>
  <c r="H92" i="43"/>
  <c r="H93" i="43"/>
  <c r="H94" i="43"/>
  <c r="H95" i="43"/>
  <c r="H96" i="43"/>
  <c r="H97" i="43"/>
  <c r="H98" i="43"/>
  <c r="H99" i="43"/>
  <c r="H100" i="43"/>
  <c r="H101" i="43"/>
  <c r="H102" i="43"/>
  <c r="H103" i="43"/>
  <c r="H104" i="43"/>
  <c r="H105" i="43"/>
  <c r="H106" i="43"/>
  <c r="H107" i="43"/>
  <c r="H108" i="43"/>
  <c r="H109" i="43"/>
  <c r="H110" i="43"/>
  <c r="H111" i="43"/>
  <c r="H112" i="43"/>
  <c r="H113" i="43"/>
  <c r="H114" i="43"/>
  <c r="H115" i="43"/>
  <c r="H116" i="43"/>
  <c r="H117" i="43"/>
  <c r="H118" i="43"/>
  <c r="H119" i="43"/>
  <c r="H120" i="43"/>
  <c r="H121" i="43"/>
  <c r="H122" i="43"/>
  <c r="H123" i="43"/>
  <c r="H124" i="43"/>
  <c r="H125" i="43"/>
  <c r="H126" i="43"/>
  <c r="H127" i="43"/>
  <c r="H128" i="43"/>
  <c r="H129" i="43"/>
  <c r="H130" i="43"/>
  <c r="H131" i="43"/>
  <c r="H132" i="43"/>
  <c r="H133" i="43"/>
  <c r="H134" i="43"/>
  <c r="H135" i="43"/>
  <c r="H136" i="43"/>
  <c r="H137" i="43"/>
  <c r="H138" i="43"/>
  <c r="H139" i="43"/>
  <c r="H140" i="43"/>
  <c r="H141" i="43"/>
  <c r="H142" i="43"/>
  <c r="H143" i="43"/>
  <c r="H144" i="43"/>
  <c r="H145" i="43"/>
  <c r="H146" i="43"/>
  <c r="H147" i="43"/>
  <c r="H148" i="43"/>
  <c r="H149" i="43"/>
  <c r="H150" i="43"/>
  <c r="H151" i="43"/>
  <c r="H152" i="43"/>
  <c r="H153" i="43"/>
  <c r="H154" i="43"/>
  <c r="H155" i="43"/>
  <c r="H156" i="43"/>
  <c r="H157" i="43"/>
  <c r="H158" i="43"/>
  <c r="H159" i="43"/>
  <c r="H160" i="43"/>
  <c r="H161" i="43"/>
  <c r="H162" i="43"/>
  <c r="H163" i="43"/>
  <c r="H164" i="43"/>
  <c r="H165" i="43"/>
  <c r="H166" i="43"/>
  <c r="H167" i="43"/>
  <c r="H168" i="43"/>
  <c r="H169" i="43"/>
  <c r="H170" i="43"/>
  <c r="H171" i="43"/>
  <c r="H172" i="43"/>
  <c r="H173" i="43"/>
  <c r="H174" i="43"/>
  <c r="H175" i="43"/>
  <c r="H176" i="43"/>
  <c r="H177" i="43"/>
  <c r="H178" i="43"/>
  <c r="H179" i="43"/>
  <c r="H180" i="43"/>
  <c r="H181" i="43"/>
  <c r="H182" i="43"/>
  <c r="H183" i="43"/>
  <c r="H184" i="43"/>
  <c r="H185" i="43"/>
  <c r="H186" i="43"/>
  <c r="H187" i="43"/>
  <c r="H188" i="43"/>
  <c r="H189" i="43"/>
  <c r="H190" i="43"/>
  <c r="H191" i="43"/>
  <c r="H192" i="43"/>
  <c r="H193" i="43"/>
  <c r="H194" i="43"/>
  <c r="H195" i="43"/>
  <c r="H20" i="43"/>
  <c r="H19" i="43"/>
  <c r="C20" i="43"/>
  <c r="C21" i="43" s="1"/>
  <c r="C22" i="43" s="1"/>
  <c r="C23" i="43" s="1"/>
  <c r="C24" i="43" s="1"/>
  <c r="C25" i="43" s="1"/>
  <c r="C26" i="43" s="1"/>
  <c r="C27" i="43" s="1"/>
  <c r="C28" i="43" s="1"/>
  <c r="C29" i="43" s="1"/>
  <c r="C30" i="43" s="1"/>
  <c r="C31" i="43" s="1"/>
  <c r="C32" i="43" s="1"/>
  <c r="C33" i="43" s="1"/>
  <c r="C34" i="43" s="1"/>
  <c r="C35" i="43" s="1"/>
  <c r="C36" i="43" s="1"/>
  <c r="C37" i="43" s="1"/>
  <c r="C38" i="43" s="1"/>
  <c r="C39" i="43" s="1"/>
  <c r="C40" i="43" s="1"/>
  <c r="C41" i="43" s="1"/>
  <c r="C42" i="43" s="1"/>
  <c r="C43" i="43" s="1"/>
  <c r="C44" i="43" s="1"/>
  <c r="C45" i="43" s="1"/>
  <c r="C46" i="43" s="1"/>
  <c r="C47" i="43" s="1"/>
  <c r="C48" i="43" s="1"/>
  <c r="C49" i="43" s="1"/>
  <c r="C50" i="43" s="1"/>
  <c r="C51" i="43" s="1"/>
  <c r="C52" i="43" s="1"/>
  <c r="C53" i="43" s="1"/>
  <c r="C54" i="43" s="1"/>
  <c r="C55" i="43" s="1"/>
  <c r="C56" i="43" s="1"/>
  <c r="C57" i="43" s="1"/>
  <c r="C58" i="43" s="1"/>
  <c r="C59" i="43" s="1"/>
  <c r="C60" i="43" s="1"/>
  <c r="C61" i="43" s="1"/>
  <c r="C62" i="43" s="1"/>
  <c r="C63" i="43" s="1"/>
  <c r="C64" i="43" s="1"/>
  <c r="C65" i="43" s="1"/>
  <c r="C66" i="43" s="1"/>
  <c r="C67" i="43" s="1"/>
  <c r="C68" i="43" s="1"/>
  <c r="C69" i="43" s="1"/>
  <c r="C70" i="43" s="1"/>
  <c r="C71" i="43" s="1"/>
  <c r="C72" i="43" s="1"/>
  <c r="C73" i="43" s="1"/>
  <c r="C74" i="43" s="1"/>
  <c r="C75" i="43" s="1"/>
  <c r="C76" i="43" s="1"/>
  <c r="C77" i="43" s="1"/>
  <c r="C78" i="43" s="1"/>
  <c r="C79" i="43" s="1"/>
  <c r="C80" i="43" s="1"/>
  <c r="C81" i="43" s="1"/>
  <c r="C82" i="43" s="1"/>
  <c r="C83" i="43" s="1"/>
  <c r="C84" i="43" s="1"/>
  <c r="C85" i="43" s="1"/>
  <c r="C86" i="43" s="1"/>
  <c r="C87" i="43" s="1"/>
  <c r="C88" i="43" s="1"/>
  <c r="C89" i="43" s="1"/>
  <c r="C90" i="43" s="1"/>
  <c r="H9" i="43"/>
  <c r="G60" i="33"/>
  <c r="F60" i="33"/>
  <c r="F61" i="33" s="1"/>
  <c r="M60" i="33"/>
  <c r="H60" i="33" s="1"/>
  <c r="H62" i="33"/>
  <c r="H137" i="6"/>
  <c r="L137" i="6" s="1"/>
  <c r="I137" i="6"/>
  <c r="J137" i="6"/>
  <c r="K137" i="6"/>
  <c r="M137" i="6"/>
  <c r="B137" i="6"/>
  <c r="H155" i="6"/>
  <c r="L155" i="6" s="1"/>
  <c r="M155" i="6" s="1"/>
  <c r="I155" i="6"/>
  <c r="J155" i="6"/>
  <c r="K155" i="6"/>
  <c r="B155" i="6"/>
  <c r="F240" i="6"/>
  <c r="B21" i="41"/>
  <c r="B23" i="41" s="1"/>
  <c r="A3" i="41"/>
  <c r="A4" i="41"/>
  <c r="A5" i="41"/>
  <c r="A6" i="41"/>
  <c r="A7" i="41"/>
  <c r="A8" i="41"/>
  <c r="A9" i="41"/>
  <c r="A10" i="41"/>
  <c r="A11" i="41"/>
  <c r="A2" i="41"/>
  <c r="B240" i="6"/>
  <c r="M131" i="6"/>
  <c r="B131" i="6"/>
  <c r="H131" i="6"/>
  <c r="I131" i="6"/>
  <c r="J131" i="6"/>
  <c r="K131" i="6"/>
  <c r="G5" i="28"/>
  <c r="F5" i="28"/>
  <c r="B5" i="1" s="1"/>
  <c r="H5" i="28"/>
  <c r="B6" i="1" s="1"/>
  <c r="B5" i="41" s="1"/>
  <c r="I5" i="28"/>
  <c r="B10" i="1" s="1"/>
  <c r="B13" i="44" s="1"/>
  <c r="J5" i="28"/>
  <c r="B11" i="1" s="1"/>
  <c r="B10" i="41" s="1"/>
  <c r="K5" i="28"/>
  <c r="B12" i="1" s="1"/>
  <c r="B11" i="41" s="1"/>
  <c r="H158" i="6"/>
  <c r="L158" i="6" s="1"/>
  <c r="I158" i="6"/>
  <c r="J158" i="6"/>
  <c r="K158" i="6"/>
  <c r="M158" i="6"/>
  <c r="B158" i="6"/>
  <c r="H23" i="40"/>
  <c r="H198" i="40"/>
  <c r="H197" i="40"/>
  <c r="H196" i="40"/>
  <c r="F196" i="40"/>
  <c r="F195" i="40"/>
  <c r="H193" i="40"/>
  <c r="H190" i="40" a="1"/>
  <c r="F174" i="40"/>
  <c r="H174" i="40" s="1"/>
  <c r="H73" i="40"/>
  <c r="H51" i="40"/>
  <c r="H9" i="40"/>
  <c r="F143" i="6"/>
  <c r="H143" i="6"/>
  <c r="J143" i="6"/>
  <c r="K143" i="6"/>
  <c r="L143" i="6"/>
  <c r="M143" i="6"/>
  <c r="F41" i="33"/>
  <c r="B41" i="33"/>
  <c r="B42" i="33"/>
  <c r="F42" i="33"/>
  <c r="L42" i="33"/>
  <c r="L41" i="33"/>
  <c r="M42" i="33"/>
  <c r="H42" i="33"/>
  <c r="G42" i="33"/>
  <c r="G41" i="33"/>
  <c r="M41" i="33"/>
  <c r="H41" i="33" s="1"/>
  <c r="B143" i="6" l="1"/>
  <c r="I143" i="6"/>
  <c r="G29" i="14"/>
  <c r="E29" i="14"/>
  <c r="L103" i="6"/>
  <c r="M103" i="6" s="1"/>
  <c r="L54" i="6"/>
  <c r="L52" i="6"/>
  <c r="H34" i="35"/>
  <c r="J34" i="35"/>
  <c r="H36" i="35"/>
  <c r="J36" i="35"/>
  <c r="H37" i="35"/>
  <c r="J37" i="35"/>
  <c r="H38" i="35"/>
  <c r="J38" i="35"/>
  <c r="H39" i="35"/>
  <c r="J39" i="35"/>
  <c r="H40" i="35"/>
  <c r="J40" i="35"/>
  <c r="H41" i="35"/>
  <c r="J41" i="35"/>
  <c r="H42" i="35"/>
  <c r="J42" i="35"/>
  <c r="H43" i="35"/>
  <c r="J43" i="35"/>
  <c r="H44" i="35"/>
  <c r="J44" i="35"/>
  <c r="H45" i="35"/>
  <c r="J45" i="35"/>
  <c r="H46" i="35"/>
  <c r="J46" i="35"/>
  <c r="H47" i="35"/>
  <c r="J47" i="35"/>
  <c r="H48" i="35"/>
  <c r="J48" i="35"/>
  <c r="H49" i="35"/>
  <c r="J49" i="35"/>
  <c r="N155" i="6"/>
  <c r="H22" i="35"/>
  <c r="H33" i="35"/>
  <c r="H30" i="35"/>
  <c r="H29" i="35"/>
  <c r="H28" i="35"/>
  <c r="H27" i="35"/>
  <c r="H26" i="35"/>
  <c r="H25" i="35"/>
  <c r="H24" i="35"/>
  <c r="H23" i="35"/>
  <c r="H32" i="35"/>
  <c r="H31" i="35"/>
  <c r="H35" i="35"/>
  <c r="L219" i="6"/>
  <c r="M219" i="6" s="1"/>
  <c r="O92" i="5"/>
  <c r="I150" i="6"/>
  <c r="H163" i="6"/>
  <c r="M163" i="6" s="1"/>
  <c r="J163" i="6"/>
  <c r="K163" i="6" s="1"/>
  <c r="G219" i="6"/>
  <c r="B219" i="6"/>
  <c r="J219" i="6"/>
  <c r="K219" i="6" s="1"/>
  <c r="N219" i="6" s="1"/>
  <c r="B12" i="44"/>
  <c r="H215" i="44"/>
  <c r="N137" i="6"/>
  <c r="B12" i="43"/>
  <c r="B9" i="41"/>
  <c r="B4" i="41"/>
  <c r="H11" i="43"/>
  <c r="M240" i="6"/>
  <c r="I240" i="6"/>
  <c r="J240" i="6"/>
  <c r="K240" i="6" s="1"/>
  <c r="N131" i="6"/>
  <c r="H195" i="40"/>
  <c r="H11" i="40"/>
  <c r="X23" i="6"/>
  <c r="W23" i="6"/>
  <c r="C3" i="35"/>
  <c r="B101" i="6"/>
  <c r="F8" i="35"/>
  <c r="H8" i="35"/>
  <c r="I8" i="35"/>
  <c r="J8" i="35"/>
  <c r="F9" i="35"/>
  <c r="H9" i="35"/>
  <c r="I9" i="35"/>
  <c r="J9" i="35"/>
  <c r="F10" i="35"/>
  <c r="H10" i="35"/>
  <c r="I10" i="35"/>
  <c r="J10" i="35"/>
  <c r="F11" i="35"/>
  <c r="H11" i="35"/>
  <c r="I11" i="35"/>
  <c r="J11" i="35"/>
  <c r="A9" i="35"/>
  <c r="A10" i="35" s="1"/>
  <c r="A11" i="35" s="1"/>
  <c r="A12" i="35" s="1"/>
  <c r="A13" i="35" s="1"/>
  <c r="A14" i="35" s="1"/>
  <c r="F12" i="35"/>
  <c r="F13" i="35"/>
  <c r="F14" i="35"/>
  <c r="F7" i="35"/>
  <c r="H7" i="35" s="1"/>
  <c r="L48" i="33"/>
  <c r="B291" i="6"/>
  <c r="B292" i="6"/>
  <c r="B293" i="6"/>
  <c r="B328" i="6"/>
  <c r="B324" i="6"/>
  <c r="B323" i="6"/>
  <c r="H63" i="24"/>
  <c r="H62" i="24"/>
  <c r="G16" i="6"/>
  <c r="E68" i="26"/>
  <c r="E59" i="26"/>
  <c r="J13" i="26"/>
  <c r="K13" i="26"/>
  <c r="L13" i="26"/>
  <c r="N13" i="26"/>
  <c r="B55" i="33"/>
  <c r="B54" i="33"/>
  <c r="B53" i="33"/>
  <c r="B52" i="33"/>
  <c r="B51" i="33"/>
  <c r="B50" i="33"/>
  <c r="B49" i="33"/>
  <c r="B48" i="33"/>
  <c r="F49" i="33"/>
  <c r="F50" i="33"/>
  <c r="F51" i="33"/>
  <c r="F52" i="33"/>
  <c r="F53" i="33"/>
  <c r="F54" i="33"/>
  <c r="F55" i="33"/>
  <c r="L49" i="33"/>
  <c r="L50" i="33"/>
  <c r="L55" i="33"/>
  <c r="G48" i="33"/>
  <c r="F48" i="33"/>
  <c r="M48" i="33"/>
  <c r="H48" i="33" s="1"/>
  <c r="B34" i="33"/>
  <c r="B35" i="33"/>
  <c r="B36" i="33"/>
  <c r="B37" i="33"/>
  <c r="B38" i="33"/>
  <c r="F32" i="33"/>
  <c r="F33" i="33"/>
  <c r="F34" i="33"/>
  <c r="F35" i="33"/>
  <c r="F36" i="33"/>
  <c r="F37" i="33"/>
  <c r="F38" i="33"/>
  <c r="F31" i="33"/>
  <c r="F39" i="33" s="1"/>
  <c r="B57" i="6"/>
  <c r="F56" i="6"/>
  <c r="H56" i="6"/>
  <c r="L56" i="6" s="1"/>
  <c r="I56" i="6"/>
  <c r="J56" i="6"/>
  <c r="K56" i="6"/>
  <c r="G59" i="6"/>
  <c r="G60" i="6"/>
  <c r="B173" i="6"/>
  <c r="B174" i="6"/>
  <c r="N168" i="6"/>
  <c r="N170" i="6"/>
  <c r="H173" i="6"/>
  <c r="I173" i="6"/>
  <c r="J173" i="6"/>
  <c r="K173" i="6"/>
  <c r="M173" i="6"/>
  <c r="N173" i="6" s="1"/>
  <c r="H174" i="6"/>
  <c r="I174" i="6"/>
  <c r="J174" i="6"/>
  <c r="K174" i="6"/>
  <c r="M174" i="6"/>
  <c r="N174" i="6" s="1"/>
  <c r="H172" i="6"/>
  <c r="L172" i="6" s="1"/>
  <c r="B100" i="6"/>
  <c r="B171" i="6"/>
  <c r="M172" i="6"/>
  <c r="J171" i="6"/>
  <c r="K171" i="6" s="1"/>
  <c r="I171" i="6"/>
  <c r="H171" i="6"/>
  <c r="L171" i="6" s="1"/>
  <c r="M171" i="6" s="1"/>
  <c r="N171" i="6" s="1"/>
  <c r="B170" i="6"/>
  <c r="N126" i="6"/>
  <c r="C20" i="1"/>
  <c r="H119" i="6"/>
  <c r="L119" i="6" s="1"/>
  <c r="I119" i="6"/>
  <c r="J119" i="6"/>
  <c r="K119" i="6"/>
  <c r="M119" i="6"/>
  <c r="N119" i="6" s="1"/>
  <c r="H54" i="34"/>
  <c r="H53" i="34"/>
  <c r="H52" i="34"/>
  <c r="H51" i="34"/>
  <c r="F51" i="34"/>
  <c r="H50" i="34"/>
  <c r="B13" i="34"/>
  <c r="H9" i="34"/>
  <c r="H11" i="34" s="1"/>
  <c r="F8" i="34"/>
  <c r="B315" i="6"/>
  <c r="B316" i="6"/>
  <c r="B317" i="6"/>
  <c r="B318" i="6"/>
  <c r="B319" i="6"/>
  <c r="B320" i="6"/>
  <c r="B321" i="6"/>
  <c r="B322" i="6"/>
  <c r="B325" i="6"/>
  <c r="B326" i="6"/>
  <c r="B327" i="6"/>
  <c r="B312" i="6"/>
  <c r="E314" i="6"/>
  <c r="E313" i="6"/>
  <c r="F312" i="6"/>
  <c r="C25" i="1"/>
  <c r="H68" i="33" s="1"/>
  <c r="L35" i="33"/>
  <c r="L36" i="33"/>
  <c r="L37" i="33"/>
  <c r="L38" i="33"/>
  <c r="M35" i="33"/>
  <c r="M36" i="33"/>
  <c r="M37" i="33"/>
  <c r="M38" i="33"/>
  <c r="S50" i="33"/>
  <c r="T50" i="33"/>
  <c r="U50" i="33"/>
  <c r="V50" i="33"/>
  <c r="W50" i="33"/>
  <c r="X50" i="33"/>
  <c r="Y50" i="33"/>
  <c r="J32" i="33"/>
  <c r="B32" i="33" s="1"/>
  <c r="J33" i="33"/>
  <c r="B33" i="33" s="1"/>
  <c r="J34" i="33"/>
  <c r="J35" i="33"/>
  <c r="J36" i="33"/>
  <c r="J37" i="33"/>
  <c r="J38" i="33"/>
  <c r="J31" i="33"/>
  <c r="B31" i="33" s="1"/>
  <c r="H9" i="33"/>
  <c r="L270" i="6"/>
  <c r="J291" i="6"/>
  <c r="K291" i="6" s="1"/>
  <c r="J292" i="6"/>
  <c r="K292" i="6" s="1"/>
  <c r="H291" i="6"/>
  <c r="L291" i="6" s="1"/>
  <c r="M291" i="6" s="1"/>
  <c r="H292" i="6"/>
  <c r="L292" i="6" s="1"/>
  <c r="M292" i="6" s="1"/>
  <c r="H100" i="6"/>
  <c r="L100" i="6" s="1"/>
  <c r="I100" i="6"/>
  <c r="J100" i="6"/>
  <c r="K100" i="6"/>
  <c r="M100" i="6"/>
  <c r="N100" i="6" s="1"/>
  <c r="F86" i="14"/>
  <c r="F85" i="14"/>
  <c r="F38" i="14"/>
  <c r="D38" i="14"/>
  <c r="P11" i="26"/>
  <c r="G29" i="6"/>
  <c r="H29" i="6" s="1"/>
  <c r="L29" i="6" s="1"/>
  <c r="H218" i="6"/>
  <c r="B220" i="6"/>
  <c r="F235" i="6"/>
  <c r="F233" i="6"/>
  <c r="B107" i="6"/>
  <c r="B109" i="6"/>
  <c r="B110" i="6"/>
  <c r="B111" i="6"/>
  <c r="B112" i="6"/>
  <c r="B113" i="6"/>
  <c r="B114" i="6"/>
  <c r="B115" i="6"/>
  <c r="B106" i="6"/>
  <c r="C35" i="1"/>
  <c r="I106" i="6"/>
  <c r="J106" i="6"/>
  <c r="K106" i="6"/>
  <c r="H106" i="6"/>
  <c r="E29" i="6"/>
  <c r="F29" i="6" s="1"/>
  <c r="B29" i="6" s="1"/>
  <c r="E141" i="6"/>
  <c r="D5" i="28"/>
  <c r="F12" i="26"/>
  <c r="G274" i="6"/>
  <c r="J274" i="6" s="1"/>
  <c r="F188" i="6"/>
  <c r="I188" i="6"/>
  <c r="J188" i="6"/>
  <c r="K188" i="6" s="1"/>
  <c r="F52" i="26"/>
  <c r="F53" i="26" s="1"/>
  <c r="D168" i="6"/>
  <c r="F168" i="6"/>
  <c r="M169" i="6"/>
  <c r="N169" i="6" s="1"/>
  <c r="B169" i="6"/>
  <c r="B168" i="6"/>
  <c r="H109" i="6"/>
  <c r="I109" i="6"/>
  <c r="J109" i="6"/>
  <c r="K109" i="6" s="1"/>
  <c r="L239" i="6"/>
  <c r="E34" i="6"/>
  <c r="F34" i="6" s="1"/>
  <c r="E32" i="6"/>
  <c r="E159" i="6"/>
  <c r="F159" i="6" s="1"/>
  <c r="F160" i="6" s="1"/>
  <c r="B160" i="6" s="1"/>
  <c r="E67" i="6"/>
  <c r="F67" i="6" s="1"/>
  <c r="E151" i="6"/>
  <c r="F151" i="6" s="1"/>
  <c r="H151" i="6"/>
  <c r="L151" i="6"/>
  <c r="E108" i="6"/>
  <c r="E7" i="31"/>
  <c r="L160" i="6"/>
  <c r="E160" i="6"/>
  <c r="B21" i="29"/>
  <c r="F241" i="6" s="1"/>
  <c r="I241" i="6"/>
  <c r="G241" i="6"/>
  <c r="B241" i="6"/>
  <c r="B41" i="26"/>
  <c r="B37" i="26"/>
  <c r="B38" i="26" s="1"/>
  <c r="B4" i="26"/>
  <c r="H190" i="6"/>
  <c r="B10" i="26"/>
  <c r="F108" i="6"/>
  <c r="F18" i="26"/>
  <c r="F32" i="26"/>
  <c r="F5" i="26"/>
  <c r="G67" i="6"/>
  <c r="I29" i="26"/>
  <c r="I28" i="26"/>
  <c r="I27" i="26"/>
  <c r="I26" i="26"/>
  <c r="I25" i="26"/>
  <c r="I24" i="26"/>
  <c r="I19" i="26"/>
  <c r="I18" i="26"/>
  <c r="I17" i="26"/>
  <c r="I16" i="26"/>
  <c r="I12" i="26"/>
  <c r="I11" i="26"/>
  <c r="I10" i="26"/>
  <c r="I9" i="26"/>
  <c r="I8" i="26"/>
  <c r="I7" i="26"/>
  <c r="I6" i="26"/>
  <c r="I5" i="26"/>
  <c r="I4" i="26"/>
  <c r="I3" i="26"/>
  <c r="G62" i="6"/>
  <c r="F50" i="14" s="1"/>
  <c r="G61" i="6"/>
  <c r="D50" i="14"/>
  <c r="F62" i="6"/>
  <c r="B62" i="6" s="1"/>
  <c r="C24" i="1"/>
  <c r="H67" i="33" s="1"/>
  <c r="C19" i="1"/>
  <c r="H246" i="6"/>
  <c r="L246" i="6" s="1"/>
  <c r="I239" i="6"/>
  <c r="F242" i="6"/>
  <c r="F238" i="6"/>
  <c r="F234" i="6"/>
  <c r="I234" i="6" s="1"/>
  <c r="J235" i="6"/>
  <c r="K235" i="6" s="1"/>
  <c r="F236" i="6"/>
  <c r="I236" i="6" s="1"/>
  <c r="F237" i="6"/>
  <c r="B237" i="6" s="1"/>
  <c r="I233" i="6"/>
  <c r="F232" i="6"/>
  <c r="I232" i="6" s="1"/>
  <c r="F231" i="6"/>
  <c r="I231" i="6" s="1"/>
  <c r="L242" i="6"/>
  <c r="H242" i="6"/>
  <c r="F247" i="6"/>
  <c r="B15" i="29"/>
  <c r="F246" i="6" s="1"/>
  <c r="B14" i="29"/>
  <c r="F245" i="6" s="1"/>
  <c r="B13" i="29"/>
  <c r="F244" i="6" s="1"/>
  <c r="B12" i="29"/>
  <c r="F243" i="6" s="1"/>
  <c r="I243" i="6" s="1"/>
  <c r="B5" i="28"/>
  <c r="C5" i="28"/>
  <c r="A5" i="28"/>
  <c r="H141" i="6"/>
  <c r="L141" i="6" s="1"/>
  <c r="H142" i="6"/>
  <c r="L142" i="6" s="1"/>
  <c r="B144" i="6"/>
  <c r="B18" i="26"/>
  <c r="B23" i="26" s="1"/>
  <c r="B127" i="6"/>
  <c r="B128" i="6"/>
  <c r="H127" i="6"/>
  <c r="I127" i="6"/>
  <c r="J127" i="6"/>
  <c r="K127" i="6" s="1"/>
  <c r="H128" i="6"/>
  <c r="I128" i="6"/>
  <c r="J128" i="6"/>
  <c r="K128" i="6" s="1"/>
  <c r="B55" i="1"/>
  <c r="K18" i="26"/>
  <c r="B13" i="1"/>
  <c r="G236" i="6"/>
  <c r="H236" i="6" s="1"/>
  <c r="G237" i="6"/>
  <c r="H107" i="6"/>
  <c r="I107" i="6"/>
  <c r="J107" i="6"/>
  <c r="K107" i="6" s="1"/>
  <c r="H9" i="27"/>
  <c r="H8" i="27"/>
  <c r="C7" i="27"/>
  <c r="C9" i="27" s="1"/>
  <c r="C16" i="27" s="1"/>
  <c r="D7" i="27"/>
  <c r="E7" i="27"/>
  <c r="B7" i="27"/>
  <c r="C6" i="27"/>
  <c r="D6" i="27"/>
  <c r="E6" i="27"/>
  <c r="B6" i="27"/>
  <c r="C1" i="27" a="1"/>
  <c r="H235" i="6"/>
  <c r="F41" i="14"/>
  <c r="F42" i="14"/>
  <c r="F43" i="14"/>
  <c r="D43" i="14"/>
  <c r="D42" i="14"/>
  <c r="D41" i="14"/>
  <c r="C43" i="14"/>
  <c r="G34" i="6"/>
  <c r="H34" i="6" s="1"/>
  <c r="L34" i="6" s="1"/>
  <c r="G32" i="6"/>
  <c r="H32" i="6" s="1"/>
  <c r="L32" i="6" s="1"/>
  <c r="B64" i="6"/>
  <c r="B65" i="6"/>
  <c r="J64" i="6"/>
  <c r="K64" i="6" s="1"/>
  <c r="J65" i="6"/>
  <c r="K65" i="6" s="1"/>
  <c r="I64" i="6"/>
  <c r="I65" i="6"/>
  <c r="H64" i="6"/>
  <c r="H65" i="6"/>
  <c r="G285" i="6"/>
  <c r="F198" i="44" l="1"/>
  <c r="F199" i="44" s="1"/>
  <c r="F219" i="8"/>
  <c r="F220" i="8" s="1"/>
  <c r="M188" i="6"/>
  <c r="N188" i="6" s="1"/>
  <c r="I151" i="6"/>
  <c r="J151" i="6"/>
  <c r="K151" i="6" s="1"/>
  <c r="M151" i="6"/>
  <c r="N151" i="6" s="1"/>
  <c r="B151" i="6"/>
  <c r="L107" i="6"/>
  <c r="M107" i="6" s="1"/>
  <c r="L128" i="6"/>
  <c r="M128" i="6" s="1"/>
  <c r="L127" i="6"/>
  <c r="M127" i="6" s="1"/>
  <c r="L109" i="6"/>
  <c r="M109" i="6" s="1"/>
  <c r="L106" i="6"/>
  <c r="M106" i="6" s="1"/>
  <c r="N106" i="6" s="1"/>
  <c r="L55" i="6"/>
  <c r="F32" i="6"/>
  <c r="I35" i="35"/>
  <c r="G84" i="6"/>
  <c r="I31" i="35"/>
  <c r="G81" i="6"/>
  <c r="I32" i="35"/>
  <c r="G82" i="6"/>
  <c r="I23" i="35"/>
  <c r="G73" i="6"/>
  <c r="I24" i="35"/>
  <c r="G74" i="6"/>
  <c r="I25" i="35"/>
  <c r="G75" i="6"/>
  <c r="I26" i="35"/>
  <c r="G76" i="6"/>
  <c r="I27" i="35"/>
  <c r="G77" i="6"/>
  <c r="I28" i="35"/>
  <c r="G78" i="6"/>
  <c r="I29" i="35"/>
  <c r="G79" i="6"/>
  <c r="I30" i="35"/>
  <c r="G80" i="6"/>
  <c r="I33" i="35"/>
  <c r="G83" i="6"/>
  <c r="I22" i="35"/>
  <c r="I49" i="35"/>
  <c r="G99" i="6"/>
  <c r="I48" i="35"/>
  <c r="G98" i="6"/>
  <c r="I47" i="35"/>
  <c r="G97" i="6"/>
  <c r="I46" i="35"/>
  <c r="G96" i="6"/>
  <c r="I45" i="35"/>
  <c r="G95" i="6"/>
  <c r="I44" i="35"/>
  <c r="G94" i="6"/>
  <c r="I43" i="35"/>
  <c r="G93" i="6"/>
  <c r="I42" i="35"/>
  <c r="G92" i="6"/>
  <c r="I41" i="35"/>
  <c r="G91" i="6"/>
  <c r="I40" i="35"/>
  <c r="G90" i="6"/>
  <c r="I39" i="35"/>
  <c r="G89" i="6"/>
  <c r="I38" i="35"/>
  <c r="G88" i="6"/>
  <c r="I37" i="35"/>
  <c r="G87" i="6"/>
  <c r="I36" i="35"/>
  <c r="G86" i="6"/>
  <c r="I34" i="35"/>
  <c r="G85" i="6"/>
  <c r="L65" i="6"/>
  <c r="M65" i="6" s="1"/>
  <c r="L64" i="6"/>
  <c r="M64" i="6" s="1"/>
  <c r="H66" i="33"/>
  <c r="H74" i="23"/>
  <c r="F11" i="43"/>
  <c r="F11" i="44"/>
  <c r="H198" i="43"/>
  <c r="N240" i="6"/>
  <c r="H199" i="40"/>
  <c r="F11" i="40"/>
  <c r="H194" i="40"/>
  <c r="F194" i="40"/>
  <c r="B13" i="40"/>
  <c r="B28" i="40"/>
  <c r="B25" i="40"/>
  <c r="B188" i="6"/>
  <c r="F184" i="40"/>
  <c r="I14" i="35"/>
  <c r="H14" i="35"/>
  <c r="I13" i="35"/>
  <c r="H13" i="35"/>
  <c r="I12" i="35"/>
  <c r="H12" i="35"/>
  <c r="I7" i="35"/>
  <c r="I15" i="35" s="1"/>
  <c r="H15" i="35"/>
  <c r="G101" i="6" s="1"/>
  <c r="F15" i="35"/>
  <c r="D101" i="6" s="1"/>
  <c r="B12" i="33"/>
  <c r="H16" i="6"/>
  <c r="L16" i="6" s="1"/>
  <c r="M55" i="33"/>
  <c r="H55" i="33" s="1"/>
  <c r="G55" i="33"/>
  <c r="M50" i="33"/>
  <c r="H50" i="33" s="1"/>
  <c r="G50" i="33"/>
  <c r="M49" i="33"/>
  <c r="H49" i="33" s="1"/>
  <c r="G49" i="33"/>
  <c r="H38" i="33"/>
  <c r="H37" i="33"/>
  <c r="H36" i="33"/>
  <c r="H35" i="33"/>
  <c r="G38" i="33"/>
  <c r="G37" i="33"/>
  <c r="G36" i="33"/>
  <c r="G35" i="33"/>
  <c r="G39" i="33"/>
  <c r="H39" i="33" s="1"/>
  <c r="B39" i="33"/>
  <c r="M56" i="6"/>
  <c r="B56" i="6"/>
  <c r="B172" i="6"/>
  <c r="I172" i="6"/>
  <c r="J172" i="6"/>
  <c r="K172" i="6" s="1"/>
  <c r="N172" i="6" s="1"/>
  <c r="N107" i="6"/>
  <c r="N128" i="6"/>
  <c r="N127" i="6"/>
  <c r="N109" i="6"/>
  <c r="B313" i="6"/>
  <c r="B314" i="6"/>
  <c r="F11" i="33"/>
  <c r="F11" i="34"/>
  <c r="B12" i="34"/>
  <c r="E9" i="27"/>
  <c r="E16" i="27" s="1"/>
  <c r="E17" i="27" s="1"/>
  <c r="E21" i="27" s="1"/>
  <c r="E25" i="27" s="1"/>
  <c r="D9" i="27"/>
  <c r="D16" i="27" s="1"/>
  <c r="D17" i="27" s="1"/>
  <c r="D21" i="27" s="1"/>
  <c r="D25" i="27" s="1"/>
  <c r="H13" i="27"/>
  <c r="I13" i="27" s="1"/>
  <c r="H12" i="27"/>
  <c r="I12" i="27" s="1"/>
  <c r="B8" i="1"/>
  <c r="B7" i="41" s="1"/>
  <c r="H11" i="33"/>
  <c r="N292" i="6"/>
  <c r="N291" i="6"/>
  <c r="C38" i="14"/>
  <c r="G38" i="14" s="1"/>
  <c r="G218" i="6"/>
  <c r="F218" i="6"/>
  <c r="B218" i="6" s="1"/>
  <c r="J218" i="6"/>
  <c r="K218" i="6" s="1"/>
  <c r="B34" i="6"/>
  <c r="I218" i="6"/>
  <c r="L218" i="6"/>
  <c r="M218" i="6" s="1"/>
  <c r="I32" i="6"/>
  <c r="M32" i="6"/>
  <c r="M34" i="6"/>
  <c r="I108" i="6"/>
  <c r="B108" i="6"/>
  <c r="I29" i="6"/>
  <c r="J29" i="6"/>
  <c r="K29" i="6" s="1"/>
  <c r="M29" i="6"/>
  <c r="A12" i="31"/>
  <c r="A13" i="31"/>
  <c r="M160" i="6"/>
  <c r="J160" i="6"/>
  <c r="K160" i="6" s="1"/>
  <c r="B9" i="27"/>
  <c r="B16" i="27" s="1"/>
  <c r="B17" i="27" s="1"/>
  <c r="B21" i="27" s="1"/>
  <c r="B25" i="27" s="1"/>
  <c r="I160" i="6"/>
  <c r="C17" i="27"/>
  <c r="C21" i="27" s="1"/>
  <c r="C25" i="27" s="1"/>
  <c r="J242" i="6"/>
  <c r="K242" i="6" s="1"/>
  <c r="B242" i="6"/>
  <c r="J241" i="6"/>
  <c r="K241" i="6" s="1"/>
  <c r="H241" i="6"/>
  <c r="B12" i="26"/>
  <c r="B11" i="26"/>
  <c r="A11" i="31"/>
  <c r="B4" i="1"/>
  <c r="B11" i="44" s="1"/>
  <c r="A10" i="31"/>
  <c r="B3" i="1"/>
  <c r="A9" i="31"/>
  <c r="B2" i="1"/>
  <c r="A8" i="31"/>
  <c r="B12" i="23"/>
  <c r="H62" i="6"/>
  <c r="B243" i="6"/>
  <c r="M242" i="6"/>
  <c r="I242" i="6"/>
  <c r="C50" i="14"/>
  <c r="J62" i="6"/>
  <c r="K62" i="6" s="1"/>
  <c r="I62" i="6"/>
  <c r="B236" i="6"/>
  <c r="I235" i="6"/>
  <c r="I237" i="6"/>
  <c r="J34" i="6"/>
  <c r="K34" i="6" s="1"/>
  <c r="B235" i="6"/>
  <c r="B246" i="6"/>
  <c r="I246" i="6"/>
  <c r="J246" i="6"/>
  <c r="K246" i="6" s="1"/>
  <c r="M246" i="6"/>
  <c r="H243" i="6"/>
  <c r="J243" i="6"/>
  <c r="K243" i="6" s="1"/>
  <c r="M243" i="6"/>
  <c r="B13" i="8"/>
  <c r="F11" i="8"/>
  <c r="F11" i="23"/>
  <c r="J236" i="6"/>
  <c r="K236" i="6" s="1"/>
  <c r="J237" i="6"/>
  <c r="K237" i="6" s="1"/>
  <c r="H237" i="6"/>
  <c r="C10" i="27"/>
  <c r="C13" i="27" s="1"/>
  <c r="C14" i="27" s="1"/>
  <c r="C20" i="27" s="1"/>
  <c r="C24" i="27" s="1"/>
  <c r="G43" i="14"/>
  <c r="J32" i="6"/>
  <c r="K32" i="6" s="1"/>
  <c r="N64" i="6"/>
  <c r="N65" i="6"/>
  <c r="F288" i="6"/>
  <c r="B288" i="6" s="1"/>
  <c r="F286" i="6"/>
  <c r="I286" i="6" s="1"/>
  <c r="F287" i="6"/>
  <c r="B287" i="6" s="1"/>
  <c r="F285" i="6"/>
  <c r="J285" i="6" s="1"/>
  <c r="G284" i="6"/>
  <c r="H284" i="6" s="1"/>
  <c r="B284" i="6"/>
  <c r="H285" i="6"/>
  <c r="H286" i="6"/>
  <c r="H287" i="6"/>
  <c r="H288" i="6"/>
  <c r="I284" i="6"/>
  <c r="J27" i="26"/>
  <c r="N14" i="26"/>
  <c r="N15" i="26"/>
  <c r="L14" i="26"/>
  <c r="L15" i="26"/>
  <c r="K14" i="26"/>
  <c r="K15" i="26"/>
  <c r="E69" i="26"/>
  <c r="G23" i="6"/>
  <c r="G24" i="6"/>
  <c r="G18" i="6"/>
  <c r="G17" i="6"/>
  <c r="E28" i="6"/>
  <c r="F28" i="6" s="1"/>
  <c r="F187" i="6" s="1"/>
  <c r="E70" i="6"/>
  <c r="F70" i="6" s="1"/>
  <c r="E149" i="6"/>
  <c r="F149" i="6" s="1"/>
  <c r="E148" i="6"/>
  <c r="F148" i="6" s="1"/>
  <c r="E71" i="6"/>
  <c r="F71" i="6" s="1"/>
  <c r="B71" i="6" s="1"/>
  <c r="H283" i="6"/>
  <c r="F283" i="6"/>
  <c r="H116" i="6"/>
  <c r="I116" i="6"/>
  <c r="J116" i="6"/>
  <c r="K116" i="6" s="1"/>
  <c r="L329" i="6"/>
  <c r="G313" i="6"/>
  <c r="G314" i="6"/>
  <c r="G315" i="6"/>
  <c r="G316" i="6"/>
  <c r="G317" i="6"/>
  <c r="G318" i="6"/>
  <c r="G319" i="6"/>
  <c r="G320" i="6"/>
  <c r="G321" i="6"/>
  <c r="G322" i="6"/>
  <c r="G323" i="6"/>
  <c r="G324" i="6"/>
  <c r="G325" i="6"/>
  <c r="G326" i="6"/>
  <c r="G327" i="6"/>
  <c r="G328" i="6"/>
  <c r="L280" i="6"/>
  <c r="L53" i="33" s="1"/>
  <c r="G312" i="6"/>
  <c r="B305" i="6"/>
  <c r="B304" i="6"/>
  <c r="B303" i="6"/>
  <c r="B302" i="6"/>
  <c r="J289" i="6"/>
  <c r="K289" i="6" s="1"/>
  <c r="I289" i="6"/>
  <c r="H289" i="6"/>
  <c r="L289" i="6" s="1"/>
  <c r="M289" i="6" s="1"/>
  <c r="B289" i="6"/>
  <c r="F13" i="6"/>
  <c r="F183" i="6" s="1"/>
  <c r="F31" i="26"/>
  <c r="B269" i="6"/>
  <c r="B270" i="6"/>
  <c r="B271" i="6"/>
  <c r="B272" i="6"/>
  <c r="B273" i="6"/>
  <c r="J272" i="6"/>
  <c r="K272" i="6" s="1"/>
  <c r="O271" i="6"/>
  <c r="O273" i="6" s="1"/>
  <c r="I273" i="6" s="1"/>
  <c r="H272" i="6"/>
  <c r="G271" i="6"/>
  <c r="J271" i="6" s="1"/>
  <c r="K271" i="6" s="1"/>
  <c r="I270" i="6"/>
  <c r="J270" i="6"/>
  <c r="K270" i="6" s="1"/>
  <c r="M270" i="6"/>
  <c r="L269" i="6"/>
  <c r="M269" i="6" s="1"/>
  <c r="J269" i="6"/>
  <c r="K269" i="6" s="1"/>
  <c r="I269" i="6"/>
  <c r="F7" i="26" a="1"/>
  <c r="J262" i="6"/>
  <c r="H262" i="6"/>
  <c r="K262" i="6"/>
  <c r="L262" i="6" s="1"/>
  <c r="M262" i="6" s="1"/>
  <c r="I262" i="6"/>
  <c r="B262" i="6"/>
  <c r="J57" i="6"/>
  <c r="K57" i="6" s="1"/>
  <c r="I57" i="6"/>
  <c r="H57" i="6"/>
  <c r="L57" i="6" s="1"/>
  <c r="M57" i="6" s="1"/>
  <c r="M129" i="6"/>
  <c r="H217" i="6"/>
  <c r="I217" i="6" s="1"/>
  <c r="B274" i="6"/>
  <c r="M274" i="6"/>
  <c r="B268" i="6"/>
  <c r="B275" i="6"/>
  <c r="B276" i="6"/>
  <c r="B277" i="6"/>
  <c r="B278" i="6"/>
  <c r="B279" i="6"/>
  <c r="B280" i="6"/>
  <c r="B281" i="6"/>
  <c r="B282" i="6"/>
  <c r="F9" i="26"/>
  <c r="H130" i="6"/>
  <c r="L130" i="6" s="1"/>
  <c r="H232" i="6"/>
  <c r="H233" i="6"/>
  <c r="H234" i="6"/>
  <c r="H238" i="6"/>
  <c r="H244" i="6"/>
  <c r="H245" i="6"/>
  <c r="H247" i="6"/>
  <c r="H231" i="6"/>
  <c r="L231" i="6" s="1"/>
  <c r="F51" i="14"/>
  <c r="D51" i="14"/>
  <c r="B67" i="6"/>
  <c r="J67" i="6"/>
  <c r="K67" i="6" s="1"/>
  <c r="H67" i="6"/>
  <c r="I67" i="6"/>
  <c r="H66" i="6"/>
  <c r="L66" i="6" s="1"/>
  <c r="B66" i="6"/>
  <c r="B59" i="6"/>
  <c r="H58" i="6"/>
  <c r="L58" i="6" s="1"/>
  <c r="F49" i="14"/>
  <c r="F46" i="14"/>
  <c r="F45" i="14"/>
  <c r="F44" i="14"/>
  <c r="F40" i="14"/>
  <c r="F39" i="14"/>
  <c r="F37" i="14"/>
  <c r="F36" i="14"/>
  <c r="F35" i="14"/>
  <c r="F34" i="14"/>
  <c r="F33" i="14"/>
  <c r="F32" i="14"/>
  <c r="F31" i="14"/>
  <c r="F30" i="14"/>
  <c r="F27" i="14"/>
  <c r="F26" i="14"/>
  <c r="F25" i="14"/>
  <c r="F24" i="14"/>
  <c r="F23" i="14"/>
  <c r="F22" i="14"/>
  <c r="F21" i="14"/>
  <c r="F20" i="14"/>
  <c r="F19" i="14"/>
  <c r="F18"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7" i="14"/>
  <c r="F56" i="14"/>
  <c r="F55" i="14"/>
  <c r="F53" i="14"/>
  <c r="F52" i="14"/>
  <c r="G33" i="6"/>
  <c r="G20" i="6"/>
  <c r="G21" i="6"/>
  <c r="G22" i="6"/>
  <c r="G25" i="6"/>
  <c r="G26" i="6"/>
  <c r="G27" i="6"/>
  <c r="G28" i="6"/>
  <c r="G30" i="6"/>
  <c r="G31" i="6"/>
  <c r="G19" i="6"/>
  <c r="G15" i="6"/>
  <c r="G14" i="6"/>
  <c r="G13" i="6"/>
  <c r="G12" i="6"/>
  <c r="G9" i="6"/>
  <c r="G10" i="6"/>
  <c r="G8" i="6"/>
  <c r="G6" i="6"/>
  <c r="L116" i="6" l="1"/>
  <c r="M116" i="6" s="1"/>
  <c r="C41" i="14"/>
  <c r="G41" i="14" s="1"/>
  <c r="B32" i="6"/>
  <c r="H85" i="6"/>
  <c r="L85" i="6" s="1"/>
  <c r="J86" i="6"/>
  <c r="K86" i="6" s="1"/>
  <c r="H86" i="6"/>
  <c r="L86" i="6" s="1"/>
  <c r="M86" i="6" s="1"/>
  <c r="N86" i="6" s="1"/>
  <c r="J87" i="6"/>
  <c r="K87" i="6" s="1"/>
  <c r="H87" i="6"/>
  <c r="L87" i="6" s="1"/>
  <c r="M87" i="6" s="1"/>
  <c r="N87" i="6" s="1"/>
  <c r="J88" i="6"/>
  <c r="K88" i="6" s="1"/>
  <c r="H88" i="6"/>
  <c r="L88" i="6" s="1"/>
  <c r="M88" i="6" s="1"/>
  <c r="N88" i="6" s="1"/>
  <c r="J89" i="6"/>
  <c r="K89" i="6" s="1"/>
  <c r="H89" i="6"/>
  <c r="L89" i="6" s="1"/>
  <c r="M89" i="6" s="1"/>
  <c r="N89" i="6" s="1"/>
  <c r="J90" i="6"/>
  <c r="K90" i="6" s="1"/>
  <c r="H90" i="6"/>
  <c r="L90" i="6" s="1"/>
  <c r="M90" i="6" s="1"/>
  <c r="N90" i="6" s="1"/>
  <c r="J91" i="6"/>
  <c r="K91" i="6" s="1"/>
  <c r="H91" i="6"/>
  <c r="L91" i="6" s="1"/>
  <c r="M91" i="6" s="1"/>
  <c r="N91" i="6" s="1"/>
  <c r="J92" i="6"/>
  <c r="K92" i="6" s="1"/>
  <c r="H92" i="6"/>
  <c r="L92" i="6" s="1"/>
  <c r="M92" i="6" s="1"/>
  <c r="N92" i="6" s="1"/>
  <c r="J93" i="6"/>
  <c r="K93" i="6" s="1"/>
  <c r="H93" i="6"/>
  <c r="L93" i="6" s="1"/>
  <c r="M93" i="6" s="1"/>
  <c r="N93" i="6" s="1"/>
  <c r="J94" i="6"/>
  <c r="K94" i="6" s="1"/>
  <c r="H94" i="6"/>
  <c r="L94" i="6" s="1"/>
  <c r="M94" i="6" s="1"/>
  <c r="N94" i="6" s="1"/>
  <c r="J95" i="6"/>
  <c r="K95" i="6" s="1"/>
  <c r="H95" i="6"/>
  <c r="L95" i="6" s="1"/>
  <c r="M95" i="6" s="1"/>
  <c r="N95" i="6" s="1"/>
  <c r="J96" i="6"/>
  <c r="K96" i="6" s="1"/>
  <c r="H96" i="6"/>
  <c r="L96" i="6" s="1"/>
  <c r="M96" i="6" s="1"/>
  <c r="N96" i="6" s="1"/>
  <c r="J97" i="6"/>
  <c r="K97" i="6" s="1"/>
  <c r="H97" i="6"/>
  <c r="L97" i="6" s="1"/>
  <c r="M97" i="6" s="1"/>
  <c r="N97" i="6" s="1"/>
  <c r="J98" i="6"/>
  <c r="K98" i="6" s="1"/>
  <c r="H98" i="6"/>
  <c r="L98" i="6" s="1"/>
  <c r="M98" i="6" s="1"/>
  <c r="N98" i="6" s="1"/>
  <c r="J99" i="6"/>
  <c r="K99" i="6" s="1"/>
  <c r="H99" i="6"/>
  <c r="L99" i="6" s="1"/>
  <c r="M99" i="6" s="1"/>
  <c r="N99" i="6" s="1"/>
  <c r="H72" i="6"/>
  <c r="L72" i="6" s="1"/>
  <c r="H83" i="6"/>
  <c r="L83" i="6" s="1"/>
  <c r="H80" i="6"/>
  <c r="L80" i="6" s="1"/>
  <c r="H79" i="6"/>
  <c r="L79" i="6" s="1"/>
  <c r="H78" i="6"/>
  <c r="L78" i="6" s="1"/>
  <c r="H77" i="6"/>
  <c r="L77" i="6" s="1"/>
  <c r="H76" i="6"/>
  <c r="L76" i="6" s="1"/>
  <c r="H75" i="6"/>
  <c r="L75" i="6" s="1"/>
  <c r="H74" i="6"/>
  <c r="L74" i="6" s="1"/>
  <c r="H73" i="6"/>
  <c r="L73" i="6" s="1"/>
  <c r="H82" i="6"/>
  <c r="L82" i="6" s="1"/>
  <c r="H81" i="6"/>
  <c r="L81" i="6" s="1"/>
  <c r="H84" i="6"/>
  <c r="L84" i="6" s="1"/>
  <c r="L67" i="6"/>
  <c r="M67" i="6" s="1"/>
  <c r="L62" i="6"/>
  <c r="M62" i="6" s="1"/>
  <c r="N218" i="6"/>
  <c r="E10" i="27"/>
  <c r="E13" i="27" s="1"/>
  <c r="E14" i="27" s="1"/>
  <c r="E20" i="27" s="1"/>
  <c r="E24" i="27" s="1"/>
  <c r="B10" i="27"/>
  <c r="B13" i="27" s="1"/>
  <c r="B14" i="27" s="1"/>
  <c r="B20" i="27" s="1"/>
  <c r="B24" i="27" s="1"/>
  <c r="D10" i="27"/>
  <c r="D13" i="27" s="1"/>
  <c r="D14" i="27" s="1"/>
  <c r="D20" i="27" s="1"/>
  <c r="D24" i="27" s="1"/>
  <c r="O187" i="6"/>
  <c r="F221" i="8" s="1"/>
  <c r="G187" i="6"/>
  <c r="B9" i="43"/>
  <c r="B9" i="44"/>
  <c r="B10" i="43"/>
  <c r="B10" i="44"/>
  <c r="F9" i="44" s="1"/>
  <c r="K1" i="43"/>
  <c r="F9" i="43"/>
  <c r="K2" i="43" s="1"/>
  <c r="B3" i="41"/>
  <c r="B11" i="43"/>
  <c r="B2" i="41"/>
  <c r="L101" i="6"/>
  <c r="B9" i="40"/>
  <c r="B10" i="40"/>
  <c r="B11" i="40"/>
  <c r="B12" i="40"/>
  <c r="F21" i="34"/>
  <c r="F22" i="34"/>
  <c r="G44" i="34"/>
  <c r="F44" i="34"/>
  <c r="H44" i="34"/>
  <c r="F24" i="34"/>
  <c r="F25" i="34"/>
  <c r="F23" i="34"/>
  <c r="F26" i="34"/>
  <c r="F27" i="34"/>
  <c r="F28" i="34"/>
  <c r="F29" i="34"/>
  <c r="F30" i="34"/>
  <c r="F31" i="34"/>
  <c r="F32" i="34"/>
  <c r="F33" i="34"/>
  <c r="F34" i="34"/>
  <c r="F35" i="34"/>
  <c r="F36" i="34"/>
  <c r="F37" i="34"/>
  <c r="F38" i="34"/>
  <c r="F45" i="34"/>
  <c r="F46" i="34"/>
  <c r="H45" i="34"/>
  <c r="G45" i="34"/>
  <c r="G46" i="34"/>
  <c r="J14" i="35"/>
  <c r="J13" i="35"/>
  <c r="J12" i="35"/>
  <c r="J7" i="35"/>
  <c r="J15" i="35" s="1"/>
  <c r="C51" i="14"/>
  <c r="E51" i="14" s="1"/>
  <c r="B58" i="6"/>
  <c r="M53" i="33"/>
  <c r="H53" i="33" s="1"/>
  <c r="G53" i="33"/>
  <c r="N160" i="6"/>
  <c r="N116" i="6"/>
  <c r="H328" i="6"/>
  <c r="I328" i="6"/>
  <c r="J328" i="6" s="1"/>
  <c r="H327" i="6"/>
  <c r="I327" i="6"/>
  <c r="J327" i="6" s="1"/>
  <c r="H326" i="6"/>
  <c r="I326" i="6"/>
  <c r="J326" i="6" s="1"/>
  <c r="H325" i="6"/>
  <c r="I325" i="6"/>
  <c r="J325" i="6" s="1"/>
  <c r="H324" i="6"/>
  <c r="I324" i="6"/>
  <c r="J324" i="6" s="1"/>
  <c r="H323" i="6"/>
  <c r="I323" i="6"/>
  <c r="J323" i="6" s="1"/>
  <c r="H46" i="34" s="1"/>
  <c r="H322" i="6"/>
  <c r="J322" i="6"/>
  <c r="H321" i="6"/>
  <c r="I321" i="6"/>
  <c r="J321" i="6" s="1"/>
  <c r="H320" i="6"/>
  <c r="I320" i="6"/>
  <c r="J320" i="6" s="1"/>
  <c r="H319" i="6"/>
  <c r="I319" i="6"/>
  <c r="J319" i="6" s="1"/>
  <c r="H318" i="6"/>
  <c r="I318" i="6"/>
  <c r="J318" i="6" s="1"/>
  <c r="H317" i="6"/>
  <c r="I317" i="6"/>
  <c r="J317" i="6" s="1"/>
  <c r="H316" i="6"/>
  <c r="I316" i="6"/>
  <c r="J316" i="6" s="1"/>
  <c r="H315" i="6"/>
  <c r="I315" i="6"/>
  <c r="J315" i="6" s="1"/>
  <c r="I314" i="6"/>
  <c r="J314" i="6" s="1"/>
  <c r="H314" i="6"/>
  <c r="I313" i="6"/>
  <c r="J313" i="6" s="1"/>
  <c r="H313" i="6"/>
  <c r="B9" i="33"/>
  <c r="B9" i="34"/>
  <c r="B10" i="33"/>
  <c r="K1" i="33" s="1"/>
  <c r="B10" i="34"/>
  <c r="B11" i="33"/>
  <c r="B11" i="34"/>
  <c r="H312" i="6"/>
  <c r="I312" i="6"/>
  <c r="K312" i="6" s="1"/>
  <c r="C86" i="14"/>
  <c r="G86" i="14" s="1"/>
  <c r="N29" i="6"/>
  <c r="E38" i="14" s="1"/>
  <c r="N34" i="6"/>
  <c r="E43" i="14" s="1"/>
  <c r="N242" i="6"/>
  <c r="N32" i="6"/>
  <c r="E41" i="14" s="1"/>
  <c r="B283" i="6"/>
  <c r="B17" i="23"/>
  <c r="N246" i="6"/>
  <c r="L241" i="6"/>
  <c r="M241" i="6" s="1"/>
  <c r="N241" i="6" s="1"/>
  <c r="E13" i="6"/>
  <c r="M288" i="6"/>
  <c r="N288" i="6" s="1"/>
  <c r="G50" i="14"/>
  <c r="E50" i="14"/>
  <c r="I288" i="6"/>
  <c r="M286" i="6"/>
  <c r="N286" i="6" s="1"/>
  <c r="M235" i="6"/>
  <c r="N235" i="6" s="1"/>
  <c r="B286" i="6"/>
  <c r="J286" i="6"/>
  <c r="J288" i="6"/>
  <c r="I285" i="6"/>
  <c r="J287" i="6"/>
  <c r="B285" i="6"/>
  <c r="M285" i="6"/>
  <c r="N285" i="6" s="1"/>
  <c r="I271" i="6"/>
  <c r="I58" i="6"/>
  <c r="J58" i="6"/>
  <c r="K58" i="6" s="1"/>
  <c r="M287" i="6"/>
  <c r="N287" i="6" s="1"/>
  <c r="I287" i="6"/>
  <c r="M66" i="6"/>
  <c r="H330" i="6"/>
  <c r="L217" i="6"/>
  <c r="H18" i="6"/>
  <c r="L18" i="6" s="1"/>
  <c r="H24" i="6"/>
  <c r="L24" i="6" s="1"/>
  <c r="H23" i="6"/>
  <c r="L23" i="6" s="1"/>
  <c r="M283" i="6"/>
  <c r="I283" i="6"/>
  <c r="J283" i="6"/>
  <c r="K283" i="6" s="1"/>
  <c r="K274" i="6"/>
  <c r="N274" i="6" s="1"/>
  <c r="J312" i="6"/>
  <c r="H271" i="6"/>
  <c r="L271" i="6" s="1"/>
  <c r="M271" i="6" s="1"/>
  <c r="G273" i="6"/>
  <c r="N262" i="6"/>
  <c r="I66" i="6"/>
  <c r="J66" i="6"/>
  <c r="K66" i="6" s="1"/>
  <c r="M58" i="6"/>
  <c r="G5" i="6"/>
  <c r="H204" i="6"/>
  <c r="H205" i="6"/>
  <c r="H206" i="6"/>
  <c r="H207" i="6"/>
  <c r="H208" i="6"/>
  <c r="H209" i="6"/>
  <c r="H210" i="6"/>
  <c r="H211" i="6"/>
  <c r="H212" i="6"/>
  <c r="H213" i="6"/>
  <c r="H214" i="6"/>
  <c r="H215" i="6"/>
  <c r="H216" i="6"/>
  <c r="H192" i="6"/>
  <c r="H193" i="6"/>
  <c r="H194" i="6"/>
  <c r="H195" i="6"/>
  <c r="H196" i="6"/>
  <c r="H197" i="6"/>
  <c r="H198" i="6"/>
  <c r="H199" i="6"/>
  <c r="H200" i="6"/>
  <c r="H201" i="6"/>
  <c r="H202" i="6"/>
  <c r="H203" i="6"/>
  <c r="H184" i="6"/>
  <c r="H185" i="6"/>
  <c r="H186" i="6"/>
  <c r="H187" i="6"/>
  <c r="H189" i="6"/>
  <c r="H191" i="6"/>
  <c r="H183" i="6"/>
  <c r="F216" i="6"/>
  <c r="F215" i="6"/>
  <c r="G215" i="6" s="1"/>
  <c r="N263" i="6"/>
  <c r="N264" i="6"/>
  <c r="N265" i="6"/>
  <c r="N266" i="6"/>
  <c r="N267" i="6"/>
  <c r="I261" i="6"/>
  <c r="K261" i="6"/>
  <c r="L261" i="6" s="1"/>
  <c r="M261" i="6" s="1"/>
  <c r="N261" i="6" s="1"/>
  <c r="J261" i="6"/>
  <c r="H264" i="6"/>
  <c r="F264" i="6"/>
  <c r="F267" i="6"/>
  <c r="I267" i="6" s="1"/>
  <c r="F265" i="6"/>
  <c r="I265" i="6" s="1"/>
  <c r="F266" i="6"/>
  <c r="I266" i="6" s="1"/>
  <c r="F263" i="6"/>
  <c r="H263" i="6"/>
  <c r="H265" i="6"/>
  <c r="H266" i="6"/>
  <c r="H267" i="6"/>
  <c r="B261" i="6"/>
  <c r="B232" i="6"/>
  <c r="B233" i="6"/>
  <c r="B234" i="6"/>
  <c r="B238" i="6"/>
  <c r="B239" i="6"/>
  <c r="M239" i="6"/>
  <c r="T232" i="6" s="1"/>
  <c r="L238" i="6"/>
  <c r="M238" i="6" s="1"/>
  <c r="I238" i="6"/>
  <c r="J238" i="6"/>
  <c r="K238" i="6" s="1"/>
  <c r="J234" i="6"/>
  <c r="K234" i="6" s="1"/>
  <c r="J233" i="6"/>
  <c r="K233" i="6" s="1"/>
  <c r="I268" i="6"/>
  <c r="I272" i="6"/>
  <c r="I275" i="6"/>
  <c r="I276" i="6"/>
  <c r="I277" i="6"/>
  <c r="I278" i="6"/>
  <c r="I279" i="6"/>
  <c r="I280" i="6"/>
  <c r="I281" i="6"/>
  <c r="I282" i="6"/>
  <c r="I290" i="6"/>
  <c r="I293" i="6"/>
  <c r="I294" i="6"/>
  <c r="I295" i="6"/>
  <c r="H290" i="6"/>
  <c r="L290" i="6" s="1"/>
  <c r="H293" i="6"/>
  <c r="L232" i="6"/>
  <c r="L237" i="6" s="1"/>
  <c r="B231" i="6"/>
  <c r="J231" i="6"/>
  <c r="K231" i="6" s="1"/>
  <c r="J232" i="6"/>
  <c r="K232" i="6" s="1"/>
  <c r="J239" i="6"/>
  <c r="K239" i="6" s="1"/>
  <c r="B244" i="6"/>
  <c r="I244" i="6"/>
  <c r="J244" i="6"/>
  <c r="K244" i="6" s="1"/>
  <c r="M244" i="6"/>
  <c r="B245" i="6"/>
  <c r="I245" i="6"/>
  <c r="J245" i="6"/>
  <c r="K245" i="6" s="1"/>
  <c r="L245" i="6"/>
  <c r="M245" i="6" s="1"/>
  <c r="U238" i="6"/>
  <c r="B247" i="6"/>
  <c r="I247" i="6"/>
  <c r="J247" i="6"/>
  <c r="K247" i="6" s="1"/>
  <c r="L247" i="6"/>
  <c r="U239" i="6"/>
  <c r="B248" i="6"/>
  <c r="B249" i="6"/>
  <c r="B250" i="6"/>
  <c r="V243" i="6"/>
  <c r="R22" i="6"/>
  <c r="V269" i="6"/>
  <c r="L275" i="6"/>
  <c r="L276" i="6"/>
  <c r="J275" i="6"/>
  <c r="K275" i="6" s="1"/>
  <c r="B290" i="6"/>
  <c r="M290" i="6"/>
  <c r="J290" i="6"/>
  <c r="K290" i="6" s="1"/>
  <c r="L278" i="6"/>
  <c r="L51" i="33" s="1"/>
  <c r="L279" i="6"/>
  <c r="L281" i="6"/>
  <c r="L282" i="6"/>
  <c r="M282" i="6" s="1"/>
  <c r="L277" i="6"/>
  <c r="J276" i="6"/>
  <c r="K276" i="6" s="1"/>
  <c r="J277" i="6"/>
  <c r="K277" i="6" s="1"/>
  <c r="J278" i="6"/>
  <c r="K278" i="6" s="1"/>
  <c r="J279" i="6"/>
  <c r="K279" i="6" s="1"/>
  <c r="J280" i="6"/>
  <c r="K280" i="6" s="1"/>
  <c r="J281" i="6"/>
  <c r="K281" i="6" s="1"/>
  <c r="J282" i="6"/>
  <c r="K282" i="6" s="1"/>
  <c r="M280" i="6"/>
  <c r="H159" i="6"/>
  <c r="B161" i="6"/>
  <c r="B162" i="6"/>
  <c r="B164" i="6"/>
  <c r="B165" i="6"/>
  <c r="B167" i="6"/>
  <c r="H165" i="6"/>
  <c r="M165" i="6" s="1"/>
  <c r="H164" i="6"/>
  <c r="M164" i="6" s="1"/>
  <c r="J164" i="6"/>
  <c r="K164" i="6" s="1"/>
  <c r="H162" i="6"/>
  <c r="M162" i="6" s="1"/>
  <c r="I162" i="6"/>
  <c r="J162" i="6"/>
  <c r="K162" i="6" s="1"/>
  <c r="I164" i="6"/>
  <c r="I165" i="6"/>
  <c r="J165" i="6"/>
  <c r="K165" i="6" s="1"/>
  <c r="B117" i="6"/>
  <c r="B118" i="6"/>
  <c r="H114" i="6"/>
  <c r="L114" i="6" s="1"/>
  <c r="I114" i="6"/>
  <c r="J114" i="6"/>
  <c r="K114" i="6" s="1"/>
  <c r="J113" i="6"/>
  <c r="K113" i="6" s="1"/>
  <c r="I113" i="6"/>
  <c r="H113" i="6"/>
  <c r="L113" i="6" s="1"/>
  <c r="F17" i="26"/>
  <c r="B14" i="1"/>
  <c r="B63" i="6"/>
  <c r="H63" i="6"/>
  <c r="L63" i="6" s="1"/>
  <c r="I63" i="6"/>
  <c r="J63" i="6"/>
  <c r="K63" i="6" s="1"/>
  <c r="I197" i="6" l="1"/>
  <c r="J197" i="6"/>
  <c r="K197" i="6" s="1"/>
  <c r="L197" i="6"/>
  <c r="M197" i="6" s="1"/>
  <c r="N197" i="6" s="1"/>
  <c r="I196" i="6"/>
  <c r="J196" i="6"/>
  <c r="K196" i="6" s="1"/>
  <c r="L196" i="6"/>
  <c r="M196" i="6" s="1"/>
  <c r="N196" i="6" s="1"/>
  <c r="L187" i="6"/>
  <c r="G150" i="6"/>
  <c r="J150" i="6" s="1"/>
  <c r="K150" i="6" s="1"/>
  <c r="F45" i="24"/>
  <c r="H45" i="24"/>
  <c r="B45" i="24"/>
  <c r="G45" i="24"/>
  <c r="F9" i="40"/>
  <c r="G43" i="34"/>
  <c r="K313" i="6"/>
  <c r="K314" i="6"/>
  <c r="N314" i="6"/>
  <c r="K315" i="6"/>
  <c r="N315" i="6"/>
  <c r="K316" i="6"/>
  <c r="N316" i="6"/>
  <c r="K317" i="6"/>
  <c r="N317" i="6"/>
  <c r="K318" i="6"/>
  <c r="N318" i="6"/>
  <c r="K319" i="6"/>
  <c r="N319" i="6"/>
  <c r="K326" i="6"/>
  <c r="N326" i="6"/>
  <c r="K327" i="6"/>
  <c r="N327" i="6"/>
  <c r="F9" i="33"/>
  <c r="K2" i="33" s="1"/>
  <c r="N322" i="6"/>
  <c r="K322" i="6"/>
  <c r="K321" i="6"/>
  <c r="N321" i="6"/>
  <c r="J331" i="6"/>
  <c r="K320" i="6"/>
  <c r="N320" i="6"/>
  <c r="F43" i="34"/>
  <c r="H43" i="34"/>
  <c r="G51" i="14"/>
  <c r="K325" i="6"/>
  <c r="N325" i="6"/>
  <c r="K328" i="6"/>
  <c r="N328" i="6"/>
  <c r="K324" i="6"/>
  <c r="N324" i="6"/>
  <c r="K323" i="6"/>
  <c r="N323" i="6"/>
  <c r="M281" i="6"/>
  <c r="L54" i="33"/>
  <c r="M279" i="6"/>
  <c r="L52" i="33"/>
  <c r="M51" i="33"/>
  <c r="H51" i="33" s="1"/>
  <c r="G51" i="33"/>
  <c r="N162" i="6"/>
  <c r="N164" i="6"/>
  <c r="N165" i="6"/>
  <c r="M275" i="6"/>
  <c r="L31" i="33"/>
  <c r="G31" i="33" s="1"/>
  <c r="F9" i="34"/>
  <c r="K3" i="34" s="1"/>
  <c r="K2" i="34"/>
  <c r="M277" i="6"/>
  <c r="L33" i="33"/>
  <c r="G33" i="33" s="1"/>
  <c r="M278" i="6"/>
  <c r="L34" i="33"/>
  <c r="G34" i="33" s="1"/>
  <c r="M276" i="6"/>
  <c r="L32" i="33"/>
  <c r="G32" i="33" s="1"/>
  <c r="B51" i="24"/>
  <c r="F43" i="24"/>
  <c r="H46" i="24"/>
  <c r="F46" i="24"/>
  <c r="B46" i="24"/>
  <c r="G46" i="24"/>
  <c r="J284" i="6"/>
  <c r="K284" i="6" s="1"/>
  <c r="L284" i="6" s="1"/>
  <c r="M284" i="6" s="1"/>
  <c r="M247" i="6"/>
  <c r="B48" i="24"/>
  <c r="G50" i="24"/>
  <c r="F49" i="24"/>
  <c r="G49" i="24"/>
  <c r="H49" i="24"/>
  <c r="F50" i="24"/>
  <c r="H50" i="24"/>
  <c r="F51" i="24"/>
  <c r="G51" i="24"/>
  <c r="H51" i="24"/>
  <c r="B50" i="24"/>
  <c r="F48" i="24"/>
  <c r="G48" i="24"/>
  <c r="H48" i="24"/>
  <c r="R235" i="6"/>
  <c r="I248" i="6"/>
  <c r="M231" i="6"/>
  <c r="M233" i="6"/>
  <c r="N233" i="6" s="1"/>
  <c r="M232" i="6"/>
  <c r="N232" i="6" s="1"/>
  <c r="F25" i="24"/>
  <c r="F26" i="24"/>
  <c r="F27" i="24"/>
  <c r="H27" i="24" s="1"/>
  <c r="F22" i="24"/>
  <c r="F23" i="24"/>
  <c r="F24" i="24"/>
  <c r="F21" i="24"/>
  <c r="N244" i="6"/>
  <c r="N276" i="6"/>
  <c r="N282" i="6"/>
  <c r="N278" i="6"/>
  <c r="N281" i="6"/>
  <c r="T235" i="6"/>
  <c r="N277" i="6"/>
  <c r="N245" i="6"/>
  <c r="N280" i="6"/>
  <c r="N279" i="6"/>
  <c r="N283" i="6"/>
  <c r="H47" i="24"/>
  <c r="B43" i="24"/>
  <c r="G43" i="24"/>
  <c r="H43" i="24"/>
  <c r="B49" i="24"/>
  <c r="B52" i="24"/>
  <c r="B47" i="24"/>
  <c r="F47" i="24"/>
  <c r="F52" i="24"/>
  <c r="G52" i="24"/>
  <c r="G47" i="24"/>
  <c r="N275" i="6"/>
  <c r="K249" i="6"/>
  <c r="J273" i="6"/>
  <c r="K273" i="6" s="1"/>
  <c r="S263" i="6" s="1"/>
  <c r="H273" i="6"/>
  <c r="M273" i="6" s="1"/>
  <c r="I263" i="6"/>
  <c r="G216" i="6"/>
  <c r="N290" i="6"/>
  <c r="I264" i="6"/>
  <c r="I260" i="6"/>
  <c r="N239" i="6"/>
  <c r="N238" i="6"/>
  <c r="S235" i="6"/>
  <c r="M113" i="6"/>
  <c r="N113" i="6" s="1"/>
  <c r="M114" i="6"/>
  <c r="N114" i="6" s="1"/>
  <c r="M63" i="6"/>
  <c r="N63" i="6" s="1"/>
  <c r="N284" i="6" l="1"/>
  <c r="F44" i="24"/>
  <c r="H44" i="24" s="1"/>
  <c r="B44" i="24"/>
  <c r="M52" i="33"/>
  <c r="H52" i="33" s="1"/>
  <c r="G52" i="33"/>
  <c r="M54" i="33"/>
  <c r="H54" i="33" s="1"/>
  <c r="G54" i="33"/>
  <c r="M31" i="33"/>
  <c r="H47" i="34"/>
  <c r="M32" i="33"/>
  <c r="M34" i="33"/>
  <c r="M33" i="33"/>
  <c r="N231" i="6"/>
  <c r="N247" i="6"/>
  <c r="S232" i="6"/>
  <c r="S237" i="6" s="1"/>
  <c r="H52" i="24"/>
  <c r="H53" i="24" s="1"/>
  <c r="M236" i="6"/>
  <c r="N236" i="6" s="1"/>
  <c r="M237" i="6"/>
  <c r="N237" i="6" s="1"/>
  <c r="I296" i="6"/>
  <c r="M234" i="6"/>
  <c r="R232" i="6" s="1"/>
  <c r="R237" i="6" s="1"/>
  <c r="T238" i="6"/>
  <c r="T239" i="6"/>
  <c r="V235" i="6"/>
  <c r="R246" i="6" s="1"/>
  <c r="X232" i="6" s="1"/>
  <c r="S239" i="6" l="1"/>
  <c r="H56" i="33"/>
  <c r="H33" i="33"/>
  <c r="H34" i="33"/>
  <c r="H32" i="33"/>
  <c r="H31" i="33"/>
  <c r="M250" i="6"/>
  <c r="S238" i="6"/>
  <c r="S236" i="6"/>
  <c r="R236" i="6"/>
  <c r="N234" i="6"/>
  <c r="W235" i="6"/>
  <c r="X235" i="6" s="1"/>
  <c r="T236" i="6"/>
  <c r="E56" i="26"/>
  <c r="X239" i="6" l="1"/>
  <c r="X237" i="6"/>
  <c r="X238" i="6"/>
  <c r="R238" i="6"/>
  <c r="V232" i="6"/>
  <c r="R239" i="6"/>
  <c r="F30" i="26" a="1"/>
  <c r="H75" i="23"/>
  <c r="H111" i="6"/>
  <c r="L111" i="6" s="1"/>
  <c r="H112" i="6"/>
  <c r="L112" i="6" s="1"/>
  <c r="M112" i="6" s="1"/>
  <c r="I111" i="6"/>
  <c r="J111" i="6"/>
  <c r="K111" i="6" s="1"/>
  <c r="M111" i="6" s="1"/>
  <c r="N111" i="6" s="1"/>
  <c r="I112" i="6"/>
  <c r="J112" i="6"/>
  <c r="K112" i="6" s="1"/>
  <c r="H110" i="6"/>
  <c r="L110" i="6" s="1"/>
  <c r="M110" i="6" s="1"/>
  <c r="I110" i="6"/>
  <c r="J110" i="6"/>
  <c r="K110" i="6" s="1"/>
  <c r="F185" i="6"/>
  <c r="G185" i="6"/>
  <c r="H167" i="6"/>
  <c r="I167" i="6"/>
  <c r="J167" i="6"/>
  <c r="K167" i="6" s="1"/>
  <c r="M167" i="6"/>
  <c r="N167" i="6" s="1"/>
  <c r="M69" i="6"/>
  <c r="B12" i="14"/>
  <c r="B11" i="14"/>
  <c r="N110" i="6" l="1"/>
  <c r="N112" i="6"/>
  <c r="S246" i="6"/>
  <c r="W232" i="6"/>
  <c r="W237" i="6" s="1"/>
  <c r="R233" i="6"/>
  <c r="V238" i="6"/>
  <c r="V237" i="6"/>
  <c r="S233" i="6"/>
  <c r="V233" i="6"/>
  <c r="T233" i="6"/>
  <c r="R243" i="6"/>
  <c r="V239" i="6"/>
  <c r="B185" i="6"/>
  <c r="F4" i="26"/>
  <c r="B51" i="8"/>
  <c r="F14" i="26"/>
  <c r="E146" i="6"/>
  <c r="F141" i="6" s="1"/>
  <c r="C64" i="14"/>
  <c r="F8" i="26"/>
  <c r="P19" i="26"/>
  <c r="F11" i="24"/>
  <c r="F8" i="24"/>
  <c r="G199" i="6"/>
  <c r="F199" i="6"/>
  <c r="W238" i="6" l="1"/>
  <c r="B141" i="6"/>
  <c r="M141" i="6"/>
  <c r="J141" i="6"/>
  <c r="K141" i="6" s="1"/>
  <c r="I141" i="6"/>
  <c r="E142" i="6"/>
  <c r="F142" i="6" s="1"/>
  <c r="F146" i="6"/>
  <c r="W239" i="6"/>
  <c r="M272" i="6"/>
  <c r="S260" i="6" s="1"/>
  <c r="H33" i="6"/>
  <c r="L33" i="6" s="1"/>
  <c r="B9" i="1"/>
  <c r="B8" i="41" s="1"/>
  <c r="B7" i="1"/>
  <c r="B6" i="41" s="1"/>
  <c r="H161" i="6"/>
  <c r="M161" i="6" s="1"/>
  <c r="I161" i="6"/>
  <c r="J161" i="6"/>
  <c r="K161" i="6" s="1"/>
  <c r="J71" i="6"/>
  <c r="B157" i="6"/>
  <c r="I157" i="6"/>
  <c r="B159" i="6"/>
  <c r="M159" i="6"/>
  <c r="I159" i="6"/>
  <c r="J159" i="6"/>
  <c r="K159" i="6" s="1"/>
  <c r="B140" i="6"/>
  <c r="B124" i="6"/>
  <c r="B125" i="6"/>
  <c r="B130" i="6"/>
  <c r="G124" i="6"/>
  <c r="G125" i="6"/>
  <c r="H125" i="6" s="1"/>
  <c r="I124" i="6"/>
  <c r="M124" i="6"/>
  <c r="I125" i="6"/>
  <c r="M125" i="6"/>
  <c r="B145" i="6"/>
  <c r="H145" i="6"/>
  <c r="L145" i="6" s="1"/>
  <c r="M145" i="6" s="1"/>
  <c r="I145" i="6"/>
  <c r="J145" i="6"/>
  <c r="K145" i="6" s="1"/>
  <c r="I302" i="6"/>
  <c r="G302" i="6"/>
  <c r="G303" i="6"/>
  <c r="I303" i="6" s="1"/>
  <c r="G304" i="6"/>
  <c r="G305" i="6"/>
  <c r="J11" i="6"/>
  <c r="K11" i="6" s="1"/>
  <c r="I11" i="6"/>
  <c r="H11" i="6"/>
  <c r="L11" i="6" s="1"/>
  <c r="M11" i="6" s="1"/>
  <c r="Z5" i="6"/>
  <c r="H101" i="6"/>
  <c r="I101" i="6"/>
  <c r="J101" i="6"/>
  <c r="K101" i="6" s="1"/>
  <c r="B22" i="1"/>
  <c r="H102" i="6"/>
  <c r="L102" i="6" s="1"/>
  <c r="H118" i="6"/>
  <c r="I118" i="6"/>
  <c r="J118" i="6"/>
  <c r="K118" i="6" s="1"/>
  <c r="H117" i="6"/>
  <c r="I117" i="6"/>
  <c r="J117" i="6"/>
  <c r="K117" i="6" s="1"/>
  <c r="L184" i="6"/>
  <c r="L186" i="6"/>
  <c r="L189" i="6"/>
  <c r="L190" i="6"/>
  <c r="L191" i="6"/>
  <c r="L192" i="6"/>
  <c r="L193" i="6"/>
  <c r="L194" i="6"/>
  <c r="L195" i="6"/>
  <c r="L198" i="6"/>
  <c r="L199" i="6"/>
  <c r="L200" i="6"/>
  <c r="L201" i="6"/>
  <c r="L202" i="6"/>
  <c r="L203" i="6"/>
  <c r="L204" i="6"/>
  <c r="L205" i="6"/>
  <c r="L206" i="6"/>
  <c r="L207" i="6"/>
  <c r="L208" i="6"/>
  <c r="L209" i="6"/>
  <c r="L210" i="6"/>
  <c r="L211" i="6"/>
  <c r="L212" i="6"/>
  <c r="L213" i="6"/>
  <c r="L214" i="6"/>
  <c r="L215" i="6"/>
  <c r="L216" i="6"/>
  <c r="L183" i="6"/>
  <c r="H17" i="6"/>
  <c r="L17" i="6" s="1"/>
  <c r="D28" i="14"/>
  <c r="H123" i="6"/>
  <c r="I123" i="6"/>
  <c r="J123" i="6"/>
  <c r="K123" i="6" s="1"/>
  <c r="B294" i="6"/>
  <c r="B69" i="6"/>
  <c r="B70" i="6"/>
  <c r="H69" i="6"/>
  <c r="I69" i="6"/>
  <c r="J69" i="6"/>
  <c r="K69" i="6" s="1"/>
  <c r="H70" i="6"/>
  <c r="I70" i="6"/>
  <c r="J70" i="6"/>
  <c r="K70" i="6" s="1"/>
  <c r="H71" i="6"/>
  <c r="D49" i="14"/>
  <c r="D46" i="14"/>
  <c r="C25" i="14"/>
  <c r="C20" i="14"/>
  <c r="L123" i="6" l="1"/>
  <c r="M123" i="6" s="1"/>
  <c r="L117" i="6"/>
  <c r="M117" i="6" s="1"/>
  <c r="L118" i="6"/>
  <c r="M118" i="6" s="1"/>
  <c r="N159" i="6"/>
  <c r="N161" i="6"/>
  <c r="N123" i="6"/>
  <c r="N117" i="6"/>
  <c r="N118" i="6"/>
  <c r="I142" i="6"/>
  <c r="J142" i="6"/>
  <c r="K142" i="6" s="1"/>
  <c r="B142" i="6"/>
  <c r="M142" i="6"/>
  <c r="N141" i="6"/>
  <c r="Z8" i="6"/>
  <c r="Z12" i="6" s="1"/>
  <c r="K71" i="6"/>
  <c r="H76" i="23"/>
  <c r="N272" i="6"/>
  <c r="I304" i="6"/>
  <c r="N145" i="6"/>
  <c r="I305" i="6"/>
  <c r="I71" i="6"/>
  <c r="J125" i="6"/>
  <c r="K125" i="6" s="1"/>
  <c r="N125" i="6" s="1"/>
  <c r="N11" i="6"/>
  <c r="N69" i="6"/>
  <c r="J157" i="6"/>
  <c r="K157" i="6" s="1"/>
  <c r="H157" i="6"/>
  <c r="M71" i="6"/>
  <c r="J124" i="6"/>
  <c r="K124" i="6" s="1"/>
  <c r="N124" i="6" s="1"/>
  <c r="H124" i="6"/>
  <c r="H306" i="6"/>
  <c r="M101" i="6"/>
  <c r="N101" i="6" s="1"/>
  <c r="B102" i="6"/>
  <c r="I102" i="6"/>
  <c r="J102" i="6"/>
  <c r="K102" i="6" s="1"/>
  <c r="M102" i="6"/>
  <c r="N102" i="6" s="1"/>
  <c r="M70" i="6"/>
  <c r="B60" i="6"/>
  <c r="B104" i="6"/>
  <c r="B105" i="6"/>
  <c r="B132" i="6"/>
  <c r="B133" i="6"/>
  <c r="B134" i="6"/>
  <c r="B135" i="6"/>
  <c r="B136" i="6"/>
  <c r="B138" i="6"/>
  <c r="B139" i="6"/>
  <c r="B147" i="6"/>
  <c r="B152" i="6"/>
  <c r="B153" i="6"/>
  <c r="B154" i="6"/>
  <c r="B175" i="6"/>
  <c r="H108" i="6"/>
  <c r="L108" i="6" s="1"/>
  <c r="J108" i="6"/>
  <c r="K108" i="6" s="1"/>
  <c r="M108" i="6"/>
  <c r="N108" i="6" s="1"/>
  <c r="H149" i="6"/>
  <c r="L149" i="6" s="1"/>
  <c r="F55" i="6"/>
  <c r="B55" i="6" s="1"/>
  <c r="H55" i="6"/>
  <c r="H52" i="6"/>
  <c r="F54" i="6"/>
  <c r="F52" i="6"/>
  <c r="C48" i="14" s="1"/>
  <c r="F51" i="6"/>
  <c r="F61" i="6"/>
  <c r="I61" i="6" s="1"/>
  <c r="H54" i="6"/>
  <c r="E30" i="6"/>
  <c r="E45" i="26"/>
  <c r="E35" i="6"/>
  <c r="F35" i="6" s="1"/>
  <c r="B35" i="6" s="1"/>
  <c r="J33" i="26"/>
  <c r="R33" i="26" s="1"/>
  <c r="E40" i="6" s="1"/>
  <c r="F40" i="6" s="1"/>
  <c r="J35" i="26"/>
  <c r="R35" i="26" s="1"/>
  <c r="E42" i="6" s="1"/>
  <c r="F72" i="23"/>
  <c r="H59" i="24"/>
  <c r="F60" i="24"/>
  <c r="H68" i="23" a="1"/>
  <c r="R27" i="26"/>
  <c r="C37" i="14" s="1"/>
  <c r="J3" i="26"/>
  <c r="R11" i="26"/>
  <c r="R29" i="26"/>
  <c r="R5" i="26"/>
  <c r="R12" i="26"/>
  <c r="E15" i="6" s="1"/>
  <c r="R34" i="26"/>
  <c r="E41" i="6" s="1"/>
  <c r="F41" i="6" s="1"/>
  <c r="R36" i="26"/>
  <c r="E43" i="6" s="1"/>
  <c r="F43" i="6" s="1"/>
  <c r="R37" i="26"/>
  <c r="E44" i="6" s="1"/>
  <c r="F44" i="6" s="1"/>
  <c r="R31" i="26"/>
  <c r="J40" i="26"/>
  <c r="R40" i="26" s="1"/>
  <c r="E47" i="6" s="1"/>
  <c r="F47" i="6" s="1"/>
  <c r="J39" i="26"/>
  <c r="R39" i="26" s="1"/>
  <c r="E46" i="6" s="1"/>
  <c r="F46" i="6" s="1"/>
  <c r="J38" i="26"/>
  <c r="R38" i="26" s="1"/>
  <c r="E45" i="6" s="1"/>
  <c r="F45" i="6" s="1"/>
  <c r="J32" i="26"/>
  <c r="R32" i="26" s="1"/>
  <c r="E39" i="6" s="1"/>
  <c r="F39" i="6" s="1"/>
  <c r="L7" i="26"/>
  <c r="K7" i="26"/>
  <c r="J6" i="26"/>
  <c r="N9" i="26"/>
  <c r="O9" i="26"/>
  <c r="H56" i="24" a="1"/>
  <c r="L3" i="26"/>
  <c r="L28" i="26" s="1"/>
  <c r="K3" i="26"/>
  <c r="K28" i="26" s="1"/>
  <c r="P10" i="26"/>
  <c r="R10" i="26" s="1"/>
  <c r="P4" i="26"/>
  <c r="R4" i="26" s="1"/>
  <c r="P3" i="26"/>
  <c r="O19" i="26"/>
  <c r="H71" i="23"/>
  <c r="J268" i="6"/>
  <c r="K268" i="6" s="1"/>
  <c r="H268" i="6"/>
  <c r="L268" i="6" s="1"/>
  <c r="B34" i="1"/>
  <c r="B146" i="6"/>
  <c r="I215" i="6"/>
  <c r="I216" i="6"/>
  <c r="F15" i="6" l="1"/>
  <c r="C27" i="14" s="1"/>
  <c r="F30" i="6"/>
  <c r="C39" i="14" s="1"/>
  <c r="L157" i="6"/>
  <c r="M157" i="6" s="1"/>
  <c r="N157" i="6" s="1"/>
  <c r="R19" i="26"/>
  <c r="R13" i="26"/>
  <c r="E16" i="6" s="1"/>
  <c r="F16" i="6" s="1"/>
  <c r="J51" i="6"/>
  <c r="C47" i="14"/>
  <c r="N142" i="6"/>
  <c r="C44" i="14"/>
  <c r="F42" i="6"/>
  <c r="C89" i="14" s="1"/>
  <c r="G89" i="14" s="1"/>
  <c r="Z11" i="6"/>
  <c r="Z10" i="6"/>
  <c r="E22" i="6"/>
  <c r="E6" i="6"/>
  <c r="F6" i="6" s="1"/>
  <c r="E14" i="6"/>
  <c r="I306" i="6"/>
  <c r="C90" i="14"/>
  <c r="G90" i="14" s="1"/>
  <c r="N71" i="6"/>
  <c r="N70" i="6"/>
  <c r="K16" i="26"/>
  <c r="F186" i="6"/>
  <c r="G186" i="6"/>
  <c r="B54" i="6"/>
  <c r="B52" i="6"/>
  <c r="M52" i="6"/>
  <c r="J55" i="6"/>
  <c r="K55" i="6" s="1"/>
  <c r="N55" i="6" s="1"/>
  <c r="I55" i="6"/>
  <c r="N17" i="26"/>
  <c r="B149" i="6"/>
  <c r="C94" i="14"/>
  <c r="G94" i="14" s="1"/>
  <c r="B148" i="6"/>
  <c r="C93" i="14"/>
  <c r="G93" i="14" s="1"/>
  <c r="B61" i="6"/>
  <c r="C49" i="14"/>
  <c r="I51" i="6"/>
  <c r="C46" i="14"/>
  <c r="I149" i="6"/>
  <c r="J149" i="6"/>
  <c r="K149" i="6" s="1"/>
  <c r="I52" i="6"/>
  <c r="J52" i="6"/>
  <c r="K52" i="6" s="1"/>
  <c r="J54" i="6"/>
  <c r="K54" i="6" s="1"/>
  <c r="N54" i="6" s="1"/>
  <c r="I54" i="6"/>
  <c r="R3" i="26"/>
  <c r="R9" i="26"/>
  <c r="E12" i="6" s="1"/>
  <c r="J28" i="26"/>
  <c r="R28" i="26" s="1"/>
  <c r="L16" i="26"/>
  <c r="L17" i="26"/>
  <c r="L18" i="26"/>
  <c r="K17" i="26"/>
  <c r="N16" i="26"/>
  <c r="N18" i="26"/>
  <c r="E55" i="26"/>
  <c r="B215" i="6"/>
  <c r="C83" i="14"/>
  <c r="G83" i="14" s="1"/>
  <c r="J215" i="6"/>
  <c r="K215" i="6" s="1"/>
  <c r="M215" i="6"/>
  <c r="B216" i="6"/>
  <c r="C84" i="14"/>
  <c r="G84" i="14" s="1"/>
  <c r="J216" i="6"/>
  <c r="K216" i="6" s="1"/>
  <c r="M216" i="6"/>
  <c r="B298" i="6"/>
  <c r="B297" i="6"/>
  <c r="B296" i="6"/>
  <c r="H295" i="6"/>
  <c r="B295" i="6"/>
  <c r="H294" i="6"/>
  <c r="H260" i="6"/>
  <c r="B260" i="6"/>
  <c r="F43" i="33" s="1"/>
  <c r="J35" i="6"/>
  <c r="K35" i="6" s="1"/>
  <c r="I35" i="6"/>
  <c r="H35" i="6"/>
  <c r="G101" i="14"/>
  <c r="G102" i="14"/>
  <c r="B12" i="24"/>
  <c r="B11" i="24"/>
  <c r="B10" i="24"/>
  <c r="H9" i="24"/>
  <c r="B9" i="24"/>
  <c r="B19" i="14"/>
  <c r="B20" i="14"/>
  <c r="B21" i="14"/>
  <c r="B22" i="14"/>
  <c r="B23" i="14"/>
  <c r="B24" i="14"/>
  <c r="B25" i="14"/>
  <c r="B26" i="14"/>
  <c r="B27" i="14"/>
  <c r="B30" i="14"/>
  <c r="B31" i="14"/>
  <c r="B32" i="14"/>
  <c r="B33" i="14"/>
  <c r="B34" i="14"/>
  <c r="B35" i="14"/>
  <c r="B36" i="14"/>
  <c r="B37" i="14"/>
  <c r="B39" i="14"/>
  <c r="B40" i="14"/>
  <c r="B44" i="14"/>
  <c r="B45" i="14"/>
  <c r="B18" i="14"/>
  <c r="B11" i="23"/>
  <c r="B10" i="23"/>
  <c r="H9" i="23"/>
  <c r="B9" i="23"/>
  <c r="B53" i="1"/>
  <c r="B54" i="1" s="1" a="1"/>
  <c r="H39" i="6"/>
  <c r="L39" i="6" s="1"/>
  <c r="B40" i="1"/>
  <c r="F12" i="6" l="1"/>
  <c r="C24" i="14" s="1"/>
  <c r="F14" i="6"/>
  <c r="G217" i="6" s="1"/>
  <c r="G183" i="6"/>
  <c r="F200" i="6"/>
  <c r="G200" i="6"/>
  <c r="I16" i="6"/>
  <c r="B16" i="6"/>
  <c r="J16" i="6"/>
  <c r="K16" i="6" s="1"/>
  <c r="M16" i="6"/>
  <c r="F40" i="33"/>
  <c r="F22" i="6"/>
  <c r="E69" i="6"/>
  <c r="C19" i="14"/>
  <c r="F9" i="23"/>
  <c r="K1" i="23"/>
  <c r="F9" i="24"/>
  <c r="K2" i="24"/>
  <c r="F26" i="33"/>
  <c r="F27" i="33" s="1"/>
  <c r="C26" i="14"/>
  <c r="F217" i="6"/>
  <c r="O26" i="26"/>
  <c r="O18" i="26" s="1"/>
  <c r="O20" i="26"/>
  <c r="O14" i="26" s="1"/>
  <c r="H60" i="24"/>
  <c r="H72" i="23"/>
  <c r="E31" i="6"/>
  <c r="E5" i="6"/>
  <c r="F5" i="6" s="1"/>
  <c r="F49" i="23"/>
  <c r="F30" i="23"/>
  <c r="F31" i="23"/>
  <c r="F64" i="23"/>
  <c r="F63" i="23"/>
  <c r="F62" i="23"/>
  <c r="F61" i="23"/>
  <c r="F59" i="23"/>
  <c r="F58" i="23"/>
  <c r="F57" i="23"/>
  <c r="F56" i="23"/>
  <c r="F55" i="23"/>
  <c r="F54" i="23"/>
  <c r="F53" i="23"/>
  <c r="F52" i="23"/>
  <c r="F51" i="23"/>
  <c r="F50" i="23"/>
  <c r="F48" i="23"/>
  <c r="F47" i="23"/>
  <c r="F46" i="23"/>
  <c r="F40" i="23"/>
  <c r="F39" i="23"/>
  <c r="F38" i="23"/>
  <c r="F37" i="23"/>
  <c r="F36" i="23"/>
  <c r="F28" i="23"/>
  <c r="F29" i="23" s="1"/>
  <c r="N216" i="6"/>
  <c r="N215" i="6"/>
  <c r="O25" i="26"/>
  <c r="O17" i="26" s="1"/>
  <c r="R26" i="26"/>
  <c r="N52" i="6"/>
  <c r="M149" i="6"/>
  <c r="L35" i="6"/>
  <c r="L260" i="6"/>
  <c r="M260" i="6" s="1"/>
  <c r="R260" i="6" s="1"/>
  <c r="G49" i="14"/>
  <c r="G46" i="14"/>
  <c r="O24" i="26"/>
  <c r="E48" i="6"/>
  <c r="G193" i="6"/>
  <c r="F193" i="6"/>
  <c r="J260" i="6"/>
  <c r="M268" i="6"/>
  <c r="N268" i="6" s="1"/>
  <c r="M293" i="6"/>
  <c r="J293" i="6"/>
  <c r="M294" i="6"/>
  <c r="J294" i="6"/>
  <c r="K294" i="6" s="1"/>
  <c r="J295" i="6"/>
  <c r="K295" i="6" s="1"/>
  <c r="H11" i="24"/>
  <c r="H11" i="23"/>
  <c r="H104" i="6"/>
  <c r="I104" i="6"/>
  <c r="J104" i="6"/>
  <c r="K104" i="6" s="1"/>
  <c r="H105" i="6"/>
  <c r="I105" i="6"/>
  <c r="J105" i="6"/>
  <c r="K105" i="6" s="1"/>
  <c r="H153" i="6"/>
  <c r="I153" i="6"/>
  <c r="J153" i="6"/>
  <c r="K153" i="6" s="1"/>
  <c r="H154" i="6"/>
  <c r="I154" i="6"/>
  <c r="J154" i="6"/>
  <c r="K154" i="6" s="1"/>
  <c r="H175" i="6"/>
  <c r="I175" i="6"/>
  <c r="J175" i="6"/>
  <c r="K175" i="6" s="1"/>
  <c r="H152" i="6"/>
  <c r="L152" i="6" s="1"/>
  <c r="I152" i="6"/>
  <c r="J152" i="6"/>
  <c r="K152" i="6" s="1"/>
  <c r="M295" i="6"/>
  <c r="B12" i="8"/>
  <c r="N16" i="6" l="1"/>
  <c r="F198" i="6"/>
  <c r="F212" i="6"/>
  <c r="G212" i="6"/>
  <c r="G198" i="6"/>
  <c r="L105" i="6"/>
  <c r="M105" i="6" s="1"/>
  <c r="L104" i="6"/>
  <c r="M104" i="6" s="1"/>
  <c r="F184" i="6"/>
  <c r="G184" i="6"/>
  <c r="I5" i="6"/>
  <c r="F31" i="6"/>
  <c r="L154" i="6"/>
  <c r="M154" i="6" s="1"/>
  <c r="L153" i="6"/>
  <c r="M153" i="6" s="1"/>
  <c r="T260" i="6"/>
  <c r="C33" i="14"/>
  <c r="N154" i="6"/>
  <c r="N153" i="6"/>
  <c r="N105" i="6"/>
  <c r="N104" i="6"/>
  <c r="E68" i="6"/>
  <c r="F68" i="6" s="1"/>
  <c r="M68" i="6" s="1"/>
  <c r="C18" i="14"/>
  <c r="B217" i="6"/>
  <c r="J217" i="6"/>
  <c r="K217" i="6" s="1"/>
  <c r="C85" i="14"/>
  <c r="G85" i="14" s="1"/>
  <c r="M217" i="6"/>
  <c r="R20" i="26"/>
  <c r="E23" i="6" s="1"/>
  <c r="F23" i="6" s="1"/>
  <c r="E27" i="6"/>
  <c r="C40" i="14"/>
  <c r="R24" i="26"/>
  <c r="O16" i="26"/>
  <c r="E67" i="26"/>
  <c r="N295" i="6"/>
  <c r="F60" i="23"/>
  <c r="B60" i="23" s="1"/>
  <c r="R25" i="26"/>
  <c r="K293" i="6"/>
  <c r="N293" i="6" s="1"/>
  <c r="T263" i="6"/>
  <c r="K260" i="6"/>
  <c r="R263" i="6"/>
  <c r="M298" i="6"/>
  <c r="N294" i="6"/>
  <c r="B5" i="26"/>
  <c r="M175" i="6"/>
  <c r="N175" i="6" s="1"/>
  <c r="N149" i="6"/>
  <c r="M35" i="6"/>
  <c r="E71" i="26"/>
  <c r="M152" i="6"/>
  <c r="N152" i="6" s="1"/>
  <c r="H140" i="6"/>
  <c r="L140" i="6" s="1"/>
  <c r="M140" i="6" s="1"/>
  <c r="I140" i="6"/>
  <c r="J140" i="6"/>
  <c r="K140" i="6" s="1"/>
  <c r="H144" i="6"/>
  <c r="L144" i="6" s="1"/>
  <c r="M144" i="6" s="1"/>
  <c r="I144" i="6"/>
  <c r="J144" i="6"/>
  <c r="K144" i="6" s="1"/>
  <c r="H146" i="6"/>
  <c r="L146" i="6" s="1"/>
  <c r="M146" i="6" s="1"/>
  <c r="I146" i="6"/>
  <c r="J146" i="6"/>
  <c r="K146" i="6" s="1"/>
  <c r="H139" i="6"/>
  <c r="L139" i="6" s="1"/>
  <c r="M139" i="6" s="1"/>
  <c r="I139" i="6"/>
  <c r="J139" i="6"/>
  <c r="K139" i="6" s="1"/>
  <c r="H147" i="6"/>
  <c r="I147" i="6"/>
  <c r="J147" i="6"/>
  <c r="K147" i="6" s="1"/>
  <c r="H148" i="6"/>
  <c r="L148" i="6" s="1"/>
  <c r="I148" i="6"/>
  <c r="J148" i="6"/>
  <c r="K148" i="6" s="1"/>
  <c r="M130" i="6"/>
  <c r="I130" i="6"/>
  <c r="J130" i="6"/>
  <c r="K130" i="6" s="1"/>
  <c r="H132" i="6"/>
  <c r="I132" i="6"/>
  <c r="J132" i="6"/>
  <c r="K132" i="6" s="1"/>
  <c r="H133" i="6"/>
  <c r="I133" i="6"/>
  <c r="J133" i="6"/>
  <c r="K133" i="6" s="1"/>
  <c r="H134" i="6"/>
  <c r="I134" i="6"/>
  <c r="J134" i="6"/>
  <c r="K134" i="6" s="1"/>
  <c r="H135" i="6"/>
  <c r="I135" i="6"/>
  <c r="J135" i="6"/>
  <c r="K135" i="6" s="1"/>
  <c r="H136" i="6"/>
  <c r="I136" i="6"/>
  <c r="J136" i="6"/>
  <c r="K136" i="6" s="1"/>
  <c r="H138" i="6"/>
  <c r="I138" i="6"/>
  <c r="J138" i="6"/>
  <c r="K138" i="6" s="1"/>
  <c r="I12" i="6"/>
  <c r="I13" i="6"/>
  <c r="I15" i="6"/>
  <c r="I20" i="6"/>
  <c r="I22" i="6"/>
  <c r="I28" i="6"/>
  <c r="I41" i="6"/>
  <c r="I42" i="6"/>
  <c r="I43" i="6"/>
  <c r="I44" i="6"/>
  <c r="I59" i="6"/>
  <c r="I60" i="6"/>
  <c r="I115" i="6"/>
  <c r="H60" i="6"/>
  <c r="L60" i="6" s="1"/>
  <c r="J60" i="6"/>
  <c r="K60" i="6" s="1"/>
  <c r="B16" i="14"/>
  <c r="G105" i="14" s="1"/>
  <c r="L138" i="6" l="1"/>
  <c r="M138" i="6" s="1"/>
  <c r="L136" i="6"/>
  <c r="M136" i="6" s="1"/>
  <c r="L135" i="6"/>
  <c r="M135" i="6" s="1"/>
  <c r="L134" i="6"/>
  <c r="M134" i="6" s="1"/>
  <c r="L133" i="6"/>
  <c r="M133" i="6" s="1"/>
  <c r="L132" i="6"/>
  <c r="M132" i="6" s="1"/>
  <c r="F27" i="6"/>
  <c r="I23" i="6"/>
  <c r="B23" i="6"/>
  <c r="J23" i="6"/>
  <c r="K23" i="6" s="1"/>
  <c r="M23" i="6"/>
  <c r="I68" i="6"/>
  <c r="B68" i="6"/>
  <c r="N217" i="6"/>
  <c r="B7" i="26"/>
  <c r="B6" i="26"/>
  <c r="E26" i="6"/>
  <c r="E25" i="6"/>
  <c r="K297" i="6"/>
  <c r="G60" i="23"/>
  <c r="N260" i="6"/>
  <c r="V263" i="6"/>
  <c r="T264" i="6" s="1"/>
  <c r="N35" i="6"/>
  <c r="N139" i="6"/>
  <c r="N146" i="6"/>
  <c r="N144" i="6"/>
  <c r="N138" i="6"/>
  <c r="N136" i="6"/>
  <c r="N135" i="6"/>
  <c r="N134" i="6"/>
  <c r="N133" i="6"/>
  <c r="N132" i="6"/>
  <c r="N130" i="6"/>
  <c r="N140" i="6"/>
  <c r="M60" i="6"/>
  <c r="N60" i="6" s="1"/>
  <c r="L147" i="6"/>
  <c r="M147" i="6" s="1"/>
  <c r="N147" i="6" s="1"/>
  <c r="M148" i="6"/>
  <c r="I14" i="6"/>
  <c r="J68" i="6"/>
  <c r="D45" i="14"/>
  <c r="D44" i="14"/>
  <c r="D40" i="14"/>
  <c r="D39" i="14"/>
  <c r="D37" i="14"/>
  <c r="D36" i="14"/>
  <c r="D35" i="14"/>
  <c r="D34" i="14"/>
  <c r="D33" i="14"/>
  <c r="D32" i="14"/>
  <c r="D31" i="14"/>
  <c r="D30" i="14"/>
  <c r="D27" i="14"/>
  <c r="D26" i="14"/>
  <c r="D25" i="14"/>
  <c r="D24" i="14"/>
  <c r="D23" i="14"/>
  <c r="D22" i="14"/>
  <c r="D21" i="14"/>
  <c r="D20" i="14"/>
  <c r="D19" i="14"/>
  <c r="D18" i="14"/>
  <c r="I6" i="6"/>
  <c r="I7" i="6"/>
  <c r="N23" i="6" l="1"/>
  <c r="F25" i="6"/>
  <c r="F26" i="6"/>
  <c r="I27" i="6"/>
  <c r="C36" i="14"/>
  <c r="R264" i="6"/>
  <c r="S264" i="6"/>
  <c r="W263" i="6"/>
  <c r="X260" i="6" s="1"/>
  <c r="N148" i="6"/>
  <c r="I26" i="6" l="1"/>
  <c r="C35" i="14"/>
  <c r="B25" i="6"/>
  <c r="I25" i="6"/>
  <c r="C34" i="14"/>
  <c r="X263" i="6"/>
  <c r="X266" i="6" s="1"/>
  <c r="B14" i="14"/>
  <c r="G107" i="14" s="1"/>
  <c r="B6" i="14"/>
  <c r="B8" i="14"/>
  <c r="B7" i="14"/>
  <c r="B5" i="14"/>
  <c r="X265" i="6" l="1"/>
  <c r="H68" i="6"/>
  <c r="K68" i="6"/>
  <c r="N68" i="6" s="1"/>
  <c r="H115" i="6"/>
  <c r="J115" i="6"/>
  <c r="B51" i="6"/>
  <c r="H59" i="6"/>
  <c r="L59" i="6" s="1"/>
  <c r="J59" i="6"/>
  <c r="K59" i="6" s="1"/>
  <c r="H61" i="6"/>
  <c r="L61" i="6" s="1"/>
  <c r="J61" i="6"/>
  <c r="K61" i="6" s="1"/>
  <c r="L115" i="6" l="1"/>
  <c r="M115" i="6" s="1"/>
  <c r="K115" i="6"/>
  <c r="N115" i="6" s="1"/>
  <c r="M61" i="6"/>
  <c r="M59" i="6"/>
  <c r="B10" i="14"/>
  <c r="B9" i="14"/>
  <c r="N61" i="6" l="1"/>
  <c r="E49" i="14" s="1"/>
  <c r="N59" i="6"/>
  <c r="I39" i="6"/>
  <c r="B197" i="6"/>
  <c r="C65" i="14" l="1"/>
  <c r="G65" i="14" s="1"/>
  <c r="C45" i="14"/>
  <c r="C91" i="14"/>
  <c r="G91" i="14" s="1"/>
  <c r="B212" i="6"/>
  <c r="C92" i="14" l="1"/>
  <c r="G92" i="14" s="1"/>
  <c r="F48" i="6"/>
  <c r="I45" i="6"/>
  <c r="I46" i="6"/>
  <c r="I47" i="6"/>
  <c r="F208" i="6"/>
  <c r="B208" i="6" s="1"/>
  <c r="G208" i="6"/>
  <c r="I40" i="6"/>
  <c r="C80" i="14"/>
  <c r="G80" i="14" s="1"/>
  <c r="H6" i="6"/>
  <c r="L6" i="6" s="1"/>
  <c r="H20" i="6"/>
  <c r="L20" i="6" s="1"/>
  <c r="H51" i="6"/>
  <c r="I205" i="6"/>
  <c r="I204" i="6"/>
  <c r="B47" i="6"/>
  <c r="B46" i="6"/>
  <c r="B45" i="6"/>
  <c r="B44" i="6"/>
  <c r="B43" i="6"/>
  <c r="B42" i="6"/>
  <c r="B41" i="6"/>
  <c r="C52" i="14"/>
  <c r="G52" i="14" s="1"/>
  <c r="B186" i="6"/>
  <c r="B187" i="6"/>
  <c r="H9" i="8"/>
  <c r="H233" i="8" s="1"/>
  <c r="B198" i="6"/>
  <c r="B213" i="6"/>
  <c r="H11" i="8" l="1"/>
  <c r="I31" i="6"/>
  <c r="C81" i="14"/>
  <c r="G81" i="14" s="1"/>
  <c r="C66" i="14"/>
  <c r="G66" i="14" s="1"/>
  <c r="C56" i="14"/>
  <c r="G56" i="14" s="1"/>
  <c r="C54" i="14"/>
  <c r="G54" i="14" s="1"/>
  <c r="C55" i="14"/>
  <c r="G55" i="14" s="1"/>
  <c r="B199" i="6"/>
  <c r="B183" i="6"/>
  <c r="G204" i="6"/>
  <c r="F204" i="6"/>
  <c r="G205" i="6"/>
  <c r="F205" i="6"/>
  <c r="B205" i="6" s="1"/>
  <c r="B200" i="6"/>
  <c r="C72" i="14" l="1"/>
  <c r="G72" i="14" s="1"/>
  <c r="B204" i="6"/>
  <c r="C68" i="14"/>
  <c r="G68" i="14" s="1"/>
  <c r="C67" i="14"/>
  <c r="G67" i="14" s="1"/>
  <c r="B184" i="6"/>
  <c r="C53" i="14"/>
  <c r="G53" i="14" s="1"/>
  <c r="C73" i="14"/>
  <c r="G73" i="14" s="1"/>
  <c r="M204" i="6"/>
  <c r="J204" i="6"/>
  <c r="M205" i="6"/>
  <c r="J205" i="6"/>
  <c r="K205" i="6" s="1"/>
  <c r="H47" i="6"/>
  <c r="L47" i="6" s="1"/>
  <c r="H46" i="6"/>
  <c r="L46" i="6" s="1"/>
  <c r="H45" i="6"/>
  <c r="L45" i="6" s="1"/>
  <c r="H44" i="6"/>
  <c r="L44" i="6" s="1"/>
  <c r="H43" i="6"/>
  <c r="L43" i="6" s="1"/>
  <c r="H42" i="6"/>
  <c r="L42" i="6" s="1"/>
  <c r="H41" i="6"/>
  <c r="L41" i="6" s="1"/>
  <c r="D29" i="13"/>
  <c r="E29" i="13" s="1"/>
  <c r="D27" i="13"/>
  <c r="D25" i="13"/>
  <c r="E25" i="13" s="1"/>
  <c r="D23" i="13"/>
  <c r="E23" i="13" s="1"/>
  <c r="D21" i="13"/>
  <c r="E5" i="13"/>
  <c r="E7" i="13"/>
  <c r="E38" i="13"/>
  <c r="E3" i="13"/>
  <c r="J20" i="6"/>
  <c r="K20" i="6" s="1"/>
  <c r="B20" i="6"/>
  <c r="G200" i="44" l="1"/>
  <c r="K204" i="6"/>
  <c r="N204" i="6" s="1"/>
  <c r="N205" i="6"/>
  <c r="M20" i="6"/>
  <c r="I2" i="13"/>
  <c r="E27" i="13"/>
  <c r="E21" i="13"/>
  <c r="N20" i="6" l="1"/>
  <c r="E32" i="13"/>
  <c r="E34" i="13" s="1"/>
  <c r="E35" i="13" s="1"/>
  <c r="M186" i="6" l="1"/>
  <c r="J186" i="6"/>
  <c r="K186" i="6" s="1"/>
  <c r="I186" i="6"/>
  <c r="H25" i="6"/>
  <c r="L25" i="6" s="1"/>
  <c r="H26" i="6"/>
  <c r="L26" i="6" s="1"/>
  <c r="H27" i="6"/>
  <c r="L27" i="6" s="1"/>
  <c r="H21" i="6"/>
  <c r="L21" i="6" s="1"/>
  <c r="H19" i="6"/>
  <c r="L19" i="6" s="1"/>
  <c r="J42" i="6"/>
  <c r="K42" i="6" s="1"/>
  <c r="J43" i="6"/>
  <c r="K43" i="6" s="1"/>
  <c r="J44" i="6"/>
  <c r="K44" i="6" s="1"/>
  <c r="H31" i="6"/>
  <c r="L31" i="6" s="1"/>
  <c r="H40" i="6"/>
  <c r="L40" i="6" s="1"/>
  <c r="H28" i="6"/>
  <c r="L28" i="6" s="1"/>
  <c r="H13" i="6"/>
  <c r="L13" i="6" s="1"/>
  <c r="H22" i="6"/>
  <c r="L22" i="6" s="1"/>
  <c r="H30" i="6"/>
  <c r="L30" i="6" s="1"/>
  <c r="H15" i="6"/>
  <c r="L15" i="6" s="1"/>
  <c r="H14" i="6"/>
  <c r="L14" i="6" s="1"/>
  <c r="H12" i="6"/>
  <c r="L12" i="6" s="1"/>
  <c r="H10" i="6"/>
  <c r="L10" i="6" s="1"/>
  <c r="H9" i="6"/>
  <c r="L9" i="6" s="1"/>
  <c r="H8" i="6"/>
  <c r="L8" i="6" s="1"/>
  <c r="H7" i="6"/>
  <c r="L7" i="6" s="1"/>
  <c r="J213" i="6"/>
  <c r="K213" i="6" s="1"/>
  <c r="M213" i="6"/>
  <c r="I213" i="6"/>
  <c r="G214" i="6"/>
  <c r="F214" i="6" s="1"/>
  <c r="I214" i="6"/>
  <c r="B222" i="6"/>
  <c r="N213" i="6" l="1"/>
  <c r="N186" i="6"/>
  <c r="J5" i="6"/>
  <c r="M44" i="6"/>
  <c r="N44" i="6" s="1"/>
  <c r="M43" i="6"/>
  <c r="N43" i="6" s="1"/>
  <c r="M42" i="6"/>
  <c r="N42" i="6" s="1"/>
  <c r="C82" i="14"/>
  <c r="G82" i="14" s="1"/>
  <c r="B214" i="6"/>
  <c r="H5" i="6"/>
  <c r="L5" i="6" s="1"/>
  <c r="M5" i="6" s="1"/>
  <c r="J214" i="6"/>
  <c r="K214" i="6" s="1"/>
  <c r="M214" i="6"/>
  <c r="N214" i="6" l="1"/>
  <c r="F209" i="6"/>
  <c r="B209" i="6" l="1"/>
  <c r="C77" i="14"/>
  <c r="G77" i="14" s="1"/>
  <c r="G209" i="6"/>
  <c r="G203" i="6"/>
  <c r="F203" i="6"/>
  <c r="B203" i="6" s="1"/>
  <c r="J200" i="6"/>
  <c r="K200" i="6" s="1"/>
  <c r="J199" i="6"/>
  <c r="K199" i="6" s="1"/>
  <c r="G192" i="6"/>
  <c r="F192" i="6"/>
  <c r="G210" i="6"/>
  <c r="F210" i="6"/>
  <c r="G211" i="6"/>
  <c r="F211" i="6"/>
  <c r="I211" i="6"/>
  <c r="G189" i="6"/>
  <c r="J187" i="6"/>
  <c r="K187" i="6" s="1"/>
  <c r="J198" i="6"/>
  <c r="K198" i="6" s="1"/>
  <c r="J209" i="6"/>
  <c r="K209" i="6" s="1"/>
  <c r="J212" i="6"/>
  <c r="K212" i="6" s="1"/>
  <c r="I184" i="6"/>
  <c r="I185" i="6"/>
  <c r="I187" i="6"/>
  <c r="H150" i="6" s="1"/>
  <c r="L150" i="6" s="1"/>
  <c r="M150" i="6" s="1"/>
  <c r="N150" i="6" s="1"/>
  <c r="I189" i="6"/>
  <c r="I190" i="6"/>
  <c r="I193" i="6"/>
  <c r="I191" i="6"/>
  <c r="I192" i="6"/>
  <c r="I194" i="6"/>
  <c r="I195" i="6"/>
  <c r="I198" i="6"/>
  <c r="I199" i="6"/>
  <c r="I200" i="6"/>
  <c r="I201" i="6"/>
  <c r="I202" i="6"/>
  <c r="I203" i="6"/>
  <c r="I206" i="6"/>
  <c r="I207" i="6"/>
  <c r="I208" i="6"/>
  <c r="I209" i="6"/>
  <c r="I210" i="6"/>
  <c r="I183" i="6"/>
  <c r="M183" i="6" s="1"/>
  <c r="J183" i="6"/>
  <c r="M209" i="6"/>
  <c r="F189" i="6"/>
  <c r="J184" i="6"/>
  <c r="K184" i="6" s="1"/>
  <c r="M198" i="6"/>
  <c r="M212" i="6"/>
  <c r="N209" i="6" l="1"/>
  <c r="N212" i="6"/>
  <c r="N198" i="6"/>
  <c r="M187" i="6"/>
  <c r="J203" i="6"/>
  <c r="K203" i="6" s="1"/>
  <c r="C57" i="14"/>
  <c r="G57" i="14" s="1"/>
  <c r="B189" i="6"/>
  <c r="C79" i="14"/>
  <c r="G79" i="14" s="1"/>
  <c r="B211" i="6"/>
  <c r="C60" i="14"/>
  <c r="G60" i="14" s="1"/>
  <c r="B192" i="6"/>
  <c r="C78" i="14"/>
  <c r="G78" i="14" s="1"/>
  <c r="B210" i="6"/>
  <c r="I30" i="6"/>
  <c r="C71" i="14"/>
  <c r="G71" i="14" s="1"/>
  <c r="J211" i="6"/>
  <c r="K211" i="6" s="1"/>
  <c r="J192" i="6"/>
  <c r="K192" i="6" s="1"/>
  <c r="J189" i="6"/>
  <c r="J210" i="6"/>
  <c r="K210" i="6" s="1"/>
  <c r="B193" i="6"/>
  <c r="M210" i="6"/>
  <c r="G190" i="6"/>
  <c r="F206" i="6"/>
  <c r="M203" i="6"/>
  <c r="K183" i="6"/>
  <c r="N183" i="6" s="1"/>
  <c r="M211" i="6"/>
  <c r="F207" i="6"/>
  <c r="F190" i="6"/>
  <c r="C76" i="14"/>
  <c r="G76" i="14" s="1"/>
  <c r="G207" i="6"/>
  <c r="G201" i="6"/>
  <c r="M192" i="6"/>
  <c r="G206" i="6"/>
  <c r="F202" i="6"/>
  <c r="G202" i="6"/>
  <c r="M200" i="6"/>
  <c r="N200" i="6" s="1"/>
  <c r="F201" i="6"/>
  <c r="M199" i="6"/>
  <c r="N199" i="6" s="1"/>
  <c r="I212" i="6"/>
  <c r="M189" i="6"/>
  <c r="J185" i="6"/>
  <c r="M184" i="6"/>
  <c r="N184" i="6" s="1"/>
  <c r="J41" i="6"/>
  <c r="K41" i="6" s="1"/>
  <c r="J47" i="6"/>
  <c r="K47" i="6" s="1"/>
  <c r="K51" i="6"/>
  <c r="J46" i="6"/>
  <c r="K46" i="6" s="1"/>
  <c r="J45" i="6"/>
  <c r="K45" i="6" s="1"/>
  <c r="B180" i="6"/>
  <c r="M30" i="6"/>
  <c r="B7" i="6"/>
  <c r="B12" i="6"/>
  <c r="B14" i="6"/>
  <c r="B15" i="6"/>
  <c r="B6" i="6"/>
  <c r="B26" i="6"/>
  <c r="B27" i="6"/>
  <c r="B30" i="6"/>
  <c r="B39" i="6"/>
  <c r="B22" i="6"/>
  <c r="B13" i="6"/>
  <c r="B28" i="6"/>
  <c r="B40" i="6"/>
  <c r="B31" i="6"/>
  <c r="B5" i="6"/>
  <c r="B10" i="8"/>
  <c r="F9" i="8" s="1"/>
  <c r="B11" i="8"/>
  <c r="B9" i="8"/>
  <c r="J7" i="6"/>
  <c r="K7" i="6" s="1"/>
  <c r="J12" i="6"/>
  <c r="K12" i="6" s="1"/>
  <c r="J14" i="6"/>
  <c r="K14" i="6" s="1"/>
  <c r="J15" i="6"/>
  <c r="K15" i="6" s="1"/>
  <c r="J6" i="6"/>
  <c r="J25" i="6"/>
  <c r="K25" i="6" s="1"/>
  <c r="J26" i="6"/>
  <c r="K26" i="6" s="1"/>
  <c r="J27" i="6"/>
  <c r="K27" i="6" s="1"/>
  <c r="J30" i="6"/>
  <c r="K30" i="6" s="1"/>
  <c r="J39" i="6"/>
  <c r="J22" i="6"/>
  <c r="K22" i="6" s="1"/>
  <c r="J13" i="6"/>
  <c r="K13" i="6" s="1"/>
  <c r="J28" i="6"/>
  <c r="K28" i="6" s="1"/>
  <c r="J40" i="6"/>
  <c r="K40" i="6" s="1"/>
  <c r="J31" i="6"/>
  <c r="K31" i="6" s="1"/>
  <c r="K5" i="6"/>
  <c r="N5" i="6" s="1"/>
  <c r="E18" i="14" s="1"/>
  <c r="G192" i="44" l="1"/>
  <c r="F197" i="44"/>
  <c r="H200" i="44"/>
  <c r="H21" i="44"/>
  <c r="G21" i="44"/>
  <c r="F21" i="44"/>
  <c r="B21" i="44"/>
  <c r="K189" i="6"/>
  <c r="F183" i="40"/>
  <c r="G179" i="40"/>
  <c r="G21" i="8"/>
  <c r="H21" i="8"/>
  <c r="K2" i="23"/>
  <c r="K3" i="24"/>
  <c r="G211" i="8"/>
  <c r="F216" i="8"/>
  <c r="B21" i="8"/>
  <c r="F21" i="8"/>
  <c r="N187" i="6"/>
  <c r="N189" i="6"/>
  <c r="N203" i="6"/>
  <c r="N211" i="6"/>
  <c r="N192" i="6"/>
  <c r="N210" i="6"/>
  <c r="N30" i="6"/>
  <c r="E39" i="14" s="1"/>
  <c r="K39" i="6"/>
  <c r="K48" i="6"/>
  <c r="T8" i="6" s="1"/>
  <c r="K6" i="6"/>
  <c r="M40" i="6"/>
  <c r="M28" i="6"/>
  <c r="M39" i="6"/>
  <c r="M41" i="6"/>
  <c r="N41" i="6" s="1"/>
  <c r="M45" i="6"/>
  <c r="M46" i="6"/>
  <c r="M51" i="6"/>
  <c r="M47" i="6"/>
  <c r="K185" i="6"/>
  <c r="C58" i="14"/>
  <c r="G58" i="14" s="1"/>
  <c r="B190" i="6"/>
  <c r="C69" i="14"/>
  <c r="G69" i="14" s="1"/>
  <c r="B201" i="6"/>
  <c r="C70" i="14"/>
  <c r="G70" i="14" s="1"/>
  <c r="B202" i="6"/>
  <c r="C75" i="14"/>
  <c r="G75" i="14" s="1"/>
  <c r="B207" i="6"/>
  <c r="C74" i="14"/>
  <c r="G74" i="14" s="1"/>
  <c r="B206" i="6"/>
  <c r="M31" i="6"/>
  <c r="M13" i="6"/>
  <c r="M22" i="6"/>
  <c r="M27" i="6"/>
  <c r="M26" i="6"/>
  <c r="M25" i="6"/>
  <c r="M6" i="6"/>
  <c r="H22" i="44" s="1"/>
  <c r="M15" i="6"/>
  <c r="N15" i="6" s="1"/>
  <c r="M14" i="6"/>
  <c r="M12" i="6"/>
  <c r="M7" i="6"/>
  <c r="G18" i="14"/>
  <c r="C61" i="14"/>
  <c r="G61" i="14" s="1"/>
  <c r="J193" i="6"/>
  <c r="J190" i="6"/>
  <c r="J202" i="6"/>
  <c r="K202" i="6" s="1"/>
  <c r="J201" i="6"/>
  <c r="K201" i="6" s="1"/>
  <c r="J207" i="6"/>
  <c r="K207" i="6" s="1"/>
  <c r="J206" i="6"/>
  <c r="J208" i="6"/>
  <c r="K208" i="6" s="1"/>
  <c r="M206" i="6"/>
  <c r="M190" i="6"/>
  <c r="M208" i="6"/>
  <c r="M193" i="6"/>
  <c r="M207" i="6"/>
  <c r="M201" i="6"/>
  <c r="M202" i="6"/>
  <c r="M185" i="6"/>
  <c r="H194" i="44" s="1"/>
  <c r="G194" i="44" l="1"/>
  <c r="B194" i="44"/>
  <c r="G22" i="44"/>
  <c r="F22" i="44"/>
  <c r="B22" i="44"/>
  <c r="H184" i="40"/>
  <c r="H198" i="44"/>
  <c r="G198" i="44"/>
  <c r="G184" i="40"/>
  <c r="G185" i="40"/>
  <c r="H185" i="40"/>
  <c r="G181" i="40"/>
  <c r="B181" i="40"/>
  <c r="H181" i="40"/>
  <c r="H22" i="8"/>
  <c r="G221" i="8"/>
  <c r="F22" i="8"/>
  <c r="G22" i="8"/>
  <c r="G219" i="8"/>
  <c r="H219" i="8"/>
  <c r="B22" i="8"/>
  <c r="N26" i="6"/>
  <c r="E35" i="14" s="1"/>
  <c r="N25" i="6"/>
  <c r="E34" i="14" s="1"/>
  <c r="N47" i="6"/>
  <c r="N46" i="6"/>
  <c r="N45" i="6"/>
  <c r="N40" i="6"/>
  <c r="E45" i="14" s="1"/>
  <c r="G213" i="8"/>
  <c r="H213" i="8"/>
  <c r="N7" i="6"/>
  <c r="E20" i="14" s="1"/>
  <c r="N12" i="6"/>
  <c r="E24" i="14" s="1"/>
  <c r="N14" i="6"/>
  <c r="E26" i="14" s="1"/>
  <c r="E27" i="14"/>
  <c r="N27" i="6"/>
  <c r="E36" i="14" s="1"/>
  <c r="N22" i="6"/>
  <c r="E33" i="14" s="1"/>
  <c r="N13" i="6"/>
  <c r="E25" i="14" s="1"/>
  <c r="N51" i="6"/>
  <c r="E46" i="14" s="1"/>
  <c r="N28" i="6"/>
  <c r="E37" i="14" s="1"/>
  <c r="K206" i="6"/>
  <c r="N206" i="6" s="1"/>
  <c r="B213" i="8"/>
  <c r="N39" i="6"/>
  <c r="E44" i="14" s="1"/>
  <c r="N202" i="6"/>
  <c r="N208" i="6"/>
  <c r="N207" i="6"/>
  <c r="N185" i="6"/>
  <c r="N201" i="6"/>
  <c r="N31" i="6"/>
  <c r="E40" i="14" s="1"/>
  <c r="N6" i="6"/>
  <c r="E19" i="14" s="1"/>
  <c r="M48" i="6"/>
  <c r="T5" i="6" s="1"/>
  <c r="T10" i="6" s="1"/>
  <c r="K190" i="6"/>
  <c r="N190" i="6" s="1"/>
  <c r="K193" i="6"/>
  <c r="N193" i="6" s="1"/>
  <c r="G45" i="14" l="1"/>
  <c r="G44" i="14" s="1"/>
  <c r="G40" i="14" l="1"/>
  <c r="G39" i="14" s="1"/>
  <c r="G37" i="14" s="1"/>
  <c r="G36" i="14" s="1"/>
  <c r="G35" i="14" s="1"/>
  <c r="G34" i="14" s="1"/>
  <c r="G33" i="14" s="1"/>
  <c r="V260" i="6" l="1"/>
  <c r="R265" i="6"/>
  <c r="V261" i="6" l="1"/>
  <c r="S261" i="6"/>
  <c r="R261" i="6"/>
  <c r="T261" i="6"/>
  <c r="W260" i="6"/>
  <c r="V265" i="6"/>
  <c r="R269" i="6"/>
  <c r="V266" i="6"/>
  <c r="W265" i="6" l="1"/>
  <c r="W266" i="6"/>
  <c r="C33" i="1" l="1"/>
  <c r="C34" i="1" s="1"/>
  <c r="F11" i="26" l="1"/>
  <c r="C37" i="1"/>
  <c r="E11" i="26" s="1"/>
  <c r="E33" i="6"/>
  <c r="F10" i="26"/>
  <c r="E54" i="26" s="1"/>
  <c r="E98" i="26" s="1"/>
  <c r="C36" i="1"/>
  <c r="F33" i="6" l="1"/>
  <c r="E110" i="26"/>
  <c r="E106" i="26"/>
  <c r="E75" i="6" s="1"/>
  <c r="F75" i="6" s="1"/>
  <c r="E96" i="26"/>
  <c r="E81" i="6" s="1"/>
  <c r="F81" i="6" s="1"/>
  <c r="E104" i="26"/>
  <c r="E73" i="6" s="1"/>
  <c r="F73" i="6" s="1"/>
  <c r="E105" i="26"/>
  <c r="E76" i="6" s="1"/>
  <c r="F76" i="6" s="1"/>
  <c r="E107" i="26"/>
  <c r="E77" i="6" s="1"/>
  <c r="F77" i="6" s="1"/>
  <c r="E108" i="26"/>
  <c r="E72" i="6" s="1"/>
  <c r="F72" i="6" s="1"/>
  <c r="E109" i="26"/>
  <c r="E74" i="6" s="1"/>
  <c r="F74" i="6" s="1"/>
  <c r="E100" i="26"/>
  <c r="E85" i="6" s="1"/>
  <c r="F85" i="6" s="1"/>
  <c r="E101" i="26"/>
  <c r="E84" i="6" s="1"/>
  <c r="F84" i="6" s="1"/>
  <c r="E102" i="26"/>
  <c r="E83" i="6" s="1"/>
  <c r="F83" i="6" s="1"/>
  <c r="E103" i="26"/>
  <c r="E82" i="6" s="1"/>
  <c r="F82" i="6" s="1"/>
  <c r="E97" i="26"/>
  <c r="E80" i="6" s="1"/>
  <c r="F80" i="6" s="1"/>
  <c r="E79" i="6"/>
  <c r="F79" i="6" s="1"/>
  <c r="E99" i="26"/>
  <c r="E78" i="6" s="1"/>
  <c r="F78" i="6" s="1"/>
  <c r="E77" i="26"/>
  <c r="E83" i="26"/>
  <c r="E10" i="26"/>
  <c r="E58" i="26" s="1"/>
  <c r="E62" i="26"/>
  <c r="J17" i="26" s="1"/>
  <c r="R17" i="26" s="1"/>
  <c r="E20" i="6" s="1"/>
  <c r="C31" i="14" s="1"/>
  <c r="E31" i="14" s="1"/>
  <c r="E61" i="26"/>
  <c r="E63" i="26"/>
  <c r="E60" i="26"/>
  <c r="J15" i="26" s="1"/>
  <c r="B33" i="6" l="1"/>
  <c r="J33" i="6"/>
  <c r="K33" i="6" s="1"/>
  <c r="M33" i="6"/>
  <c r="N33" i="6" s="1"/>
  <c r="C42" i="14"/>
  <c r="B75" i="6"/>
  <c r="I75" i="6"/>
  <c r="J75" i="6"/>
  <c r="K75" i="6" s="1"/>
  <c r="M75" i="6"/>
  <c r="N75" i="6" s="1"/>
  <c r="B78" i="6"/>
  <c r="I78" i="6"/>
  <c r="J78" i="6"/>
  <c r="K78" i="6" s="1"/>
  <c r="M78" i="6"/>
  <c r="B79" i="6"/>
  <c r="I79" i="6"/>
  <c r="J79" i="6"/>
  <c r="K79" i="6" s="1"/>
  <c r="M79" i="6"/>
  <c r="B80" i="6"/>
  <c r="I80" i="6"/>
  <c r="J80" i="6"/>
  <c r="K80" i="6" s="1"/>
  <c r="M80" i="6"/>
  <c r="B82" i="6"/>
  <c r="I82" i="6"/>
  <c r="J82" i="6"/>
  <c r="K82" i="6" s="1"/>
  <c r="M82" i="6"/>
  <c r="B83" i="6"/>
  <c r="I83" i="6"/>
  <c r="J83" i="6"/>
  <c r="K83" i="6" s="1"/>
  <c r="M83" i="6"/>
  <c r="B84" i="6"/>
  <c r="I84" i="6"/>
  <c r="J84" i="6"/>
  <c r="K84" i="6" s="1"/>
  <c r="M84" i="6"/>
  <c r="N84" i="6" s="1"/>
  <c r="B85" i="6"/>
  <c r="I85" i="6"/>
  <c r="J85" i="6"/>
  <c r="K85" i="6" s="1"/>
  <c r="M85" i="6"/>
  <c r="B74" i="6"/>
  <c r="I74" i="6"/>
  <c r="J74" i="6"/>
  <c r="K74" i="6" s="1"/>
  <c r="M74" i="6"/>
  <c r="B72" i="6"/>
  <c r="I72" i="6"/>
  <c r="J72" i="6"/>
  <c r="M72" i="6"/>
  <c r="B77" i="6"/>
  <c r="I77" i="6"/>
  <c r="J77" i="6"/>
  <c r="K77" i="6" s="1"/>
  <c r="M77" i="6"/>
  <c r="B76" i="6"/>
  <c r="I76" i="6"/>
  <c r="J76" i="6"/>
  <c r="K76" i="6" s="1"/>
  <c r="M76" i="6"/>
  <c r="B73" i="6"/>
  <c r="I73" i="6"/>
  <c r="J73" i="6"/>
  <c r="K73" i="6" s="1"/>
  <c r="M73" i="6"/>
  <c r="B81" i="6"/>
  <c r="I81" i="6"/>
  <c r="J81" i="6"/>
  <c r="K81" i="6" s="1"/>
  <c r="M81" i="6"/>
  <c r="N81" i="6" s="1"/>
  <c r="J14" i="26"/>
  <c r="R14" i="26" s="1"/>
  <c r="E17" i="6" s="1"/>
  <c r="F17" i="6" s="1"/>
  <c r="M7" i="26"/>
  <c r="R7" i="26" s="1"/>
  <c r="E9" i="6" s="1"/>
  <c r="M6" i="26"/>
  <c r="R6" i="26" s="1"/>
  <c r="E8" i="6" s="1"/>
  <c r="M8" i="26"/>
  <c r="R8" i="26" s="1"/>
  <c r="E10" i="6" s="1"/>
  <c r="E64" i="26"/>
  <c r="N78" i="6" l="1"/>
  <c r="N80" i="6"/>
  <c r="N82" i="6"/>
  <c r="N76" i="6"/>
  <c r="N79" i="6"/>
  <c r="N83" i="6"/>
  <c r="N85" i="6"/>
  <c r="N74" i="6"/>
  <c r="N77" i="6"/>
  <c r="N73" i="6"/>
  <c r="F10" i="6"/>
  <c r="F8" i="6"/>
  <c r="F9" i="6"/>
  <c r="I17" i="6"/>
  <c r="J17" i="6"/>
  <c r="K17" i="6" s="1"/>
  <c r="B17" i="6"/>
  <c r="M17" i="6"/>
  <c r="C28" i="14"/>
  <c r="E42" i="14"/>
  <c r="G42" i="14"/>
  <c r="S5" i="6"/>
  <c r="M176" i="6"/>
  <c r="K72" i="6"/>
  <c r="S8" i="6"/>
  <c r="D1" i="26"/>
  <c r="E72" i="26"/>
  <c r="J18" i="26" s="1"/>
  <c r="R18" i="26" s="1"/>
  <c r="E21" i="6" s="1"/>
  <c r="F21" i="6" s="1"/>
  <c r="E70" i="26"/>
  <c r="N17" i="6" l="1"/>
  <c r="J16" i="26"/>
  <c r="R16" i="26" s="1"/>
  <c r="E19" i="6" s="1"/>
  <c r="F19" i="6" s="1"/>
  <c r="E73" i="26"/>
  <c r="I21" i="6"/>
  <c r="B21" i="6"/>
  <c r="J21" i="6"/>
  <c r="K21" i="6" s="1"/>
  <c r="M21" i="6"/>
  <c r="E28" i="14"/>
  <c r="G28" i="14"/>
  <c r="I9" i="6"/>
  <c r="B9" i="6"/>
  <c r="J9" i="6"/>
  <c r="K9" i="6" s="1"/>
  <c r="M9" i="6"/>
  <c r="C22" i="14"/>
  <c r="E22" i="14" s="1"/>
  <c r="F195" i="6"/>
  <c r="G194" i="6" s="1"/>
  <c r="G195" i="6"/>
  <c r="I8" i="6"/>
  <c r="B8" i="6"/>
  <c r="J8" i="6"/>
  <c r="M8" i="6"/>
  <c r="C21" i="14"/>
  <c r="E21" i="14" s="1"/>
  <c r="I10" i="6"/>
  <c r="B10" i="6"/>
  <c r="J10" i="6"/>
  <c r="K10" i="6" s="1"/>
  <c r="M10" i="6"/>
  <c r="C23" i="14"/>
  <c r="E23" i="14" s="1"/>
  <c r="S10" i="6"/>
  <c r="K176" i="6"/>
  <c r="N72" i="6"/>
  <c r="U5" i="6"/>
  <c r="B16" i="44"/>
  <c r="F1" i="26"/>
  <c r="B16" i="8"/>
  <c r="E78" i="26"/>
  <c r="O21" i="26"/>
  <c r="E87" i="26"/>
  <c r="E76" i="26"/>
  <c r="E82" i="26"/>
  <c r="E91" i="26"/>
  <c r="E92" i="26"/>
  <c r="E88" i="26"/>
  <c r="E89" i="26" s="1"/>
  <c r="E84" i="26"/>
  <c r="E79" i="26"/>
  <c r="C32" i="14"/>
  <c r="N10" i="6" l="1"/>
  <c r="I19" i="6"/>
  <c r="B19" i="6"/>
  <c r="M19" i="6"/>
  <c r="C30" i="14"/>
  <c r="E30" i="14" s="1"/>
  <c r="J19" i="6"/>
  <c r="K19" i="6" s="1"/>
  <c r="N9" i="6"/>
  <c r="H24" i="44"/>
  <c r="K8" i="6"/>
  <c r="N8" i="6" s="1"/>
  <c r="G24" i="44"/>
  <c r="F24" i="44"/>
  <c r="B24" i="44"/>
  <c r="F24" i="8"/>
  <c r="G24" i="8"/>
  <c r="H28" i="44"/>
  <c r="H29" i="44"/>
  <c r="G28" i="44"/>
  <c r="F28" i="44"/>
  <c r="B28" i="44"/>
  <c r="F28" i="8"/>
  <c r="G28" i="8"/>
  <c r="B28" i="8"/>
  <c r="G29" i="44"/>
  <c r="F29" i="44"/>
  <c r="B29" i="44"/>
  <c r="G30" i="44"/>
  <c r="F30" i="44"/>
  <c r="B30" i="44"/>
  <c r="H30" i="44"/>
  <c r="H24" i="8"/>
  <c r="H28" i="8"/>
  <c r="H29" i="8"/>
  <c r="H30" i="8"/>
  <c r="F29" i="8"/>
  <c r="G29" i="8"/>
  <c r="G30" i="8"/>
  <c r="F30" i="8"/>
  <c r="B24" i="8"/>
  <c r="B30" i="8"/>
  <c r="B29" i="8"/>
  <c r="B195" i="6"/>
  <c r="F194" i="6"/>
  <c r="G191" i="6"/>
  <c r="F191" i="6"/>
  <c r="C63" i="14"/>
  <c r="G63" i="14" s="1"/>
  <c r="J195" i="6"/>
  <c r="K195" i="6" s="1"/>
  <c r="M195" i="6"/>
  <c r="N195" i="6" s="1"/>
  <c r="N21" i="6"/>
  <c r="U8" i="6"/>
  <c r="B20" i="44"/>
  <c r="K2" i="44"/>
  <c r="K1" i="44"/>
  <c r="K1" i="40"/>
  <c r="K2" i="40"/>
  <c r="K1" i="8"/>
  <c r="K2" i="8"/>
  <c r="E93" i="26"/>
  <c r="E85" i="26"/>
  <c r="E80" i="26"/>
  <c r="O15" i="26"/>
  <c r="R15" i="26" s="1"/>
  <c r="E18" i="6" s="1"/>
  <c r="R21" i="26"/>
  <c r="E24" i="6" s="1"/>
  <c r="F24" i="6" s="1"/>
  <c r="B20" i="8"/>
  <c r="E32" i="14"/>
  <c r="G32" i="14"/>
  <c r="G31" i="14" s="1"/>
  <c r="H39" i="34"/>
  <c r="H49" i="34" s="1"/>
  <c r="H55" i="34" s="1"/>
  <c r="G30" i="14" l="1"/>
  <c r="G27" i="14" s="1"/>
  <c r="G26" i="14" s="1"/>
  <c r="G25" i="14" s="1"/>
  <c r="G24" i="14" s="1"/>
  <c r="G23" i="14" s="1"/>
  <c r="G22" i="14" s="1"/>
  <c r="G21" i="14" s="1"/>
  <c r="G20" i="14" s="1"/>
  <c r="G19" i="14" s="1"/>
  <c r="B13" i="14"/>
  <c r="N19" i="6"/>
  <c r="I24" i="6"/>
  <c r="B24" i="6"/>
  <c r="J24" i="6"/>
  <c r="K24" i="6" s="1"/>
  <c r="M24" i="6"/>
  <c r="I18" i="6"/>
  <c r="B18" i="6"/>
  <c r="J18" i="6"/>
  <c r="M18" i="6"/>
  <c r="F36" i="6"/>
  <c r="B191" i="6"/>
  <c r="C59" i="14"/>
  <c r="G59" i="14" s="1"/>
  <c r="J191" i="6"/>
  <c r="M191" i="6"/>
  <c r="J194" i="6"/>
  <c r="K194" i="6" s="1"/>
  <c r="B194" i="6"/>
  <c r="C62" i="14"/>
  <c r="G62" i="14" s="1"/>
  <c r="M194" i="6"/>
  <c r="U10" i="6"/>
  <c r="E36" i="6"/>
  <c r="I176" i="6" l="1"/>
  <c r="N24" i="6"/>
  <c r="N194" i="6"/>
  <c r="H128" i="8"/>
  <c r="H221" i="8" s="1"/>
  <c r="F104" i="8"/>
  <c r="F106" i="8"/>
  <c r="F217" i="8"/>
  <c r="F218" i="8" s="1"/>
  <c r="F116" i="8"/>
  <c r="G116" i="8"/>
  <c r="H116" i="8"/>
  <c r="B116" i="8"/>
  <c r="M220" i="6"/>
  <c r="K191" i="6"/>
  <c r="N191" i="6" s="1"/>
  <c r="J220" i="6"/>
  <c r="K220" i="6" s="1"/>
  <c r="G104" i="14"/>
  <c r="G109" i="14" s="1"/>
  <c r="H217" i="8"/>
  <c r="G217" i="8"/>
  <c r="H197" i="44"/>
  <c r="G197" i="44"/>
  <c r="H183" i="40"/>
  <c r="G183" i="40"/>
  <c r="G216" i="8"/>
  <c r="H216" i="8"/>
  <c r="M36" i="6"/>
  <c r="K18" i="6"/>
  <c r="N18" i="6" s="1"/>
  <c r="K36" i="6"/>
  <c r="B75" i="8"/>
  <c r="H75" i="8"/>
  <c r="G75" i="8"/>
  <c r="F75" i="8"/>
  <c r="F192" i="44"/>
  <c r="F193" i="44" s="1"/>
  <c r="G46" i="44"/>
  <c r="F46" i="44"/>
  <c r="B46" i="44"/>
  <c r="F179" i="40"/>
  <c r="F180" i="40" s="1"/>
  <c r="F211" i="8"/>
  <c r="F212" i="8" s="1"/>
  <c r="H43" i="44"/>
  <c r="H38" i="44"/>
  <c r="G37" i="44"/>
  <c r="F37" i="44"/>
  <c r="B37" i="44"/>
  <c r="F44" i="44"/>
  <c r="F124" i="44" s="1"/>
  <c r="F200" i="44" s="1"/>
  <c r="F73" i="8"/>
  <c r="F74" i="8" s="1"/>
  <c r="H74" i="8" s="1"/>
  <c r="H136" i="44"/>
  <c r="G136" i="44"/>
  <c r="F136" i="44"/>
  <c r="B136" i="44"/>
  <c r="H135" i="44"/>
  <c r="G135" i="44"/>
  <c r="F135" i="44"/>
  <c r="B135" i="44"/>
  <c r="G43" i="44"/>
  <c r="F43" i="44"/>
  <c r="B43" i="44"/>
  <c r="G35" i="44"/>
  <c r="F35" i="44"/>
  <c r="B35" i="44"/>
  <c r="H192" i="44"/>
  <c r="B192" i="44"/>
  <c r="H137" i="44"/>
  <c r="G137" i="44"/>
  <c r="F137" i="44"/>
  <c r="B137" i="44"/>
  <c r="G38" i="44"/>
  <c r="F38" i="44"/>
  <c r="B38" i="44"/>
  <c r="H122" i="44"/>
  <c r="G122" i="44"/>
  <c r="F122" i="44"/>
  <c r="B122" i="44"/>
  <c r="H45" i="44"/>
  <c r="G45" i="44"/>
  <c r="F45" i="44"/>
  <c r="B45" i="44"/>
  <c r="H44" i="44"/>
  <c r="G44" i="44"/>
  <c r="B44" i="44"/>
  <c r="H46" i="44"/>
  <c r="H83" i="44"/>
  <c r="G83" i="44"/>
  <c r="F83" i="44"/>
  <c r="B83" i="44"/>
  <c r="H79" i="44"/>
  <c r="G79" i="44"/>
  <c r="F79" i="44"/>
  <c r="B79" i="44"/>
  <c r="H77" i="44"/>
  <c r="G77" i="44"/>
  <c r="F77" i="44"/>
  <c r="F78" i="44" s="1"/>
  <c r="H78" i="44" s="1"/>
  <c r="B77" i="44"/>
  <c r="H35" i="8"/>
  <c r="H125" i="40"/>
  <c r="G125" i="40"/>
  <c r="F125" i="40"/>
  <c r="B125" i="40"/>
  <c r="H124" i="40"/>
  <c r="G124" i="40"/>
  <c r="F124" i="40"/>
  <c r="B124" i="40"/>
  <c r="H114" i="40"/>
  <c r="G114" i="40"/>
  <c r="F114" i="40"/>
  <c r="B114" i="40"/>
  <c r="H126" i="40"/>
  <c r="G126" i="40"/>
  <c r="F126" i="40"/>
  <c r="B126" i="40"/>
  <c r="H179" i="40"/>
  <c r="B179" i="40"/>
  <c r="H38" i="8"/>
  <c r="H78" i="40"/>
  <c r="G78" i="40"/>
  <c r="F78" i="40"/>
  <c r="B78" i="40"/>
  <c r="H74" i="40"/>
  <c r="G74" i="40"/>
  <c r="F74" i="40"/>
  <c r="B74" i="40"/>
  <c r="H72" i="40"/>
  <c r="G72" i="40"/>
  <c r="F72" i="40"/>
  <c r="F73" i="40" s="1"/>
  <c r="B72" i="40"/>
  <c r="H46" i="8"/>
  <c r="G46" i="8"/>
  <c r="F46" i="8"/>
  <c r="G35" i="8"/>
  <c r="G38" i="8"/>
  <c r="F35" i="8"/>
  <c r="F38" i="8"/>
  <c r="G44" i="8"/>
  <c r="G45" i="8"/>
  <c r="H45" i="8"/>
  <c r="F44" i="8"/>
  <c r="F45" i="8"/>
  <c r="H44" i="8"/>
  <c r="G37" i="8"/>
  <c r="H37" i="8"/>
  <c r="G43" i="8"/>
  <c r="H43" i="8"/>
  <c r="F37" i="8"/>
  <c r="F43" i="8"/>
  <c r="F80" i="8"/>
  <c r="G80" i="8"/>
  <c r="H80" i="8"/>
  <c r="B80" i="8"/>
  <c r="B139" i="8"/>
  <c r="F139" i="8"/>
  <c r="G139" i="8"/>
  <c r="H139" i="8"/>
  <c r="B37" i="8"/>
  <c r="B38" i="8"/>
  <c r="H126" i="8"/>
  <c r="B45" i="8"/>
  <c r="B43" i="8"/>
  <c r="B126" i="8"/>
  <c r="B46" i="8"/>
  <c r="B73" i="8"/>
  <c r="F137" i="8"/>
  <c r="H138" i="8"/>
  <c r="B44" i="8"/>
  <c r="G73" i="8"/>
  <c r="G138" i="8"/>
  <c r="B211" i="8"/>
  <c r="B137" i="8"/>
  <c r="G126" i="8"/>
  <c r="H137" i="8"/>
  <c r="B35" i="8"/>
  <c r="H211" i="8"/>
  <c r="H73" i="8"/>
  <c r="B138" i="8"/>
  <c r="F138" i="8"/>
  <c r="F126" i="8"/>
  <c r="G137" i="8"/>
  <c r="H106" i="8"/>
  <c r="G106" i="8"/>
  <c r="B106" i="8"/>
  <c r="B200" i="44"/>
  <c r="F194" i="44"/>
  <c r="G124" i="44"/>
  <c r="H124" i="44" s="1"/>
  <c r="B124" i="44"/>
  <c r="F181" i="40"/>
  <c r="F182" i="40" s="1"/>
  <c r="F185" i="40"/>
  <c r="F213"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F140" i="8"/>
  <c r="G140" i="8"/>
  <c r="H140" i="8"/>
  <c r="F141" i="8"/>
  <c r="G141" i="8"/>
  <c r="H141" i="8"/>
  <c r="F142" i="8"/>
  <c r="G142" i="8"/>
  <c r="H142" i="8"/>
  <c r="F143" i="8"/>
  <c r="G143" i="8"/>
  <c r="H143" i="8"/>
  <c r="F144" i="8"/>
  <c r="G144" i="8"/>
  <c r="H144" i="8"/>
  <c r="F145" i="8"/>
  <c r="G145" i="8"/>
  <c r="H145" i="8"/>
  <c r="F146" i="8"/>
  <c r="G146" i="8"/>
  <c r="H146" i="8"/>
  <c r="F147" i="8"/>
  <c r="G147" i="8"/>
  <c r="H147" i="8"/>
  <c r="F148" i="8"/>
  <c r="G148" i="8"/>
  <c r="H148" i="8"/>
  <c r="F149" i="8"/>
  <c r="G149" i="8"/>
  <c r="H149" i="8"/>
  <c r="F150" i="8"/>
  <c r="G150" i="8"/>
  <c r="H150" i="8"/>
  <c r="F151" i="8"/>
  <c r="G151" i="8"/>
  <c r="H151" i="8"/>
  <c r="F152" i="8"/>
  <c r="G152" i="8"/>
  <c r="H152" i="8"/>
  <c r="F153" i="8"/>
  <c r="G153" i="8"/>
  <c r="H153" i="8"/>
  <c r="F154" i="8"/>
  <c r="G154" i="8"/>
  <c r="H154" i="8"/>
  <c r="F155" i="8"/>
  <c r="G155" i="8"/>
  <c r="H155" i="8"/>
  <c r="F156" i="8"/>
  <c r="G156" i="8"/>
  <c r="H156" i="8"/>
  <c r="F157" i="8"/>
  <c r="G157" i="8"/>
  <c r="H157" i="8"/>
  <c r="F158" i="8"/>
  <c r="G158" i="8"/>
  <c r="H158" i="8"/>
  <c r="F159" i="8"/>
  <c r="G159" i="8"/>
  <c r="H159" i="8"/>
  <c r="F160" i="8"/>
  <c r="G160" i="8"/>
  <c r="H160" i="8"/>
  <c r="F161" i="8"/>
  <c r="G161" i="8"/>
  <c r="H161" i="8"/>
  <c r="F162" i="8"/>
  <c r="G162" i="8"/>
  <c r="H162" i="8"/>
  <c r="F163" i="8"/>
  <c r="G163" i="8"/>
  <c r="H163" i="8"/>
  <c r="F164" i="8"/>
  <c r="G164" i="8"/>
  <c r="H164" i="8"/>
  <c r="F165" i="8"/>
  <c r="G165" i="8"/>
  <c r="H165" i="8"/>
  <c r="F166" i="8"/>
  <c r="G166" i="8"/>
  <c r="H166" i="8"/>
  <c r="F167" i="8"/>
  <c r="G167" i="8"/>
  <c r="H167" i="8"/>
  <c r="F168" i="8"/>
  <c r="G168" i="8"/>
  <c r="H168" i="8"/>
  <c r="H104" i="8"/>
  <c r="G104" i="8"/>
  <c r="H127" i="8"/>
  <c r="B178" i="8"/>
  <c r="B179" i="8"/>
  <c r="B180" i="8"/>
  <c r="B181" i="8"/>
  <c r="F179" i="8"/>
  <c r="G179" i="8"/>
  <c r="H179" i="8"/>
  <c r="F180" i="8"/>
  <c r="G180" i="8"/>
  <c r="H180" i="8"/>
  <c r="F181" i="8"/>
  <c r="G181" i="8"/>
  <c r="H181" i="8"/>
  <c r="F100" i="8"/>
  <c r="F202" i="8"/>
  <c r="F203" i="8"/>
  <c r="F204" i="8"/>
  <c r="F102" i="8"/>
  <c r="F70" i="8"/>
  <c r="F71" i="8"/>
  <c r="F72" i="8" s="1"/>
  <c r="H72" i="8" s="1"/>
  <c r="F200" i="8"/>
  <c r="H144" i="44"/>
  <c r="G144" i="44"/>
  <c r="F144" i="44"/>
  <c r="B144" i="44"/>
  <c r="G128" i="8"/>
  <c r="F128" i="8"/>
  <c r="B128" i="8"/>
  <c r="B217" i="8"/>
  <c r="G102" i="8"/>
  <c r="H102" i="8"/>
  <c r="F125" i="8"/>
  <c r="F124" i="8" s="1"/>
  <c r="H125" i="44"/>
  <c r="G125" i="44"/>
  <c r="F125" i="44"/>
  <c r="B125" i="44"/>
  <c r="H123" i="44"/>
  <c r="G123" i="44"/>
  <c r="F123" i="44"/>
  <c r="B123" i="44"/>
  <c r="H121" i="44"/>
  <c r="G121" i="44"/>
  <c r="F121" i="44"/>
  <c r="F120" i="44" s="1"/>
  <c r="B121" i="44"/>
  <c r="B198" i="44"/>
  <c r="B197" i="44"/>
  <c r="H186" i="44"/>
  <c r="G186" i="44"/>
  <c r="F186" i="44"/>
  <c r="B186" i="44"/>
  <c r="H185" i="44"/>
  <c r="G185" i="44"/>
  <c r="F185" i="44"/>
  <c r="B185" i="44"/>
  <c r="H184" i="44"/>
  <c r="G184" i="44"/>
  <c r="F184" i="44"/>
  <c r="B184" i="44"/>
  <c r="H183" i="44"/>
  <c r="G183" i="44"/>
  <c r="H182" i="44"/>
  <c r="G182" i="44"/>
  <c r="F182" i="44"/>
  <c r="B182" i="44"/>
  <c r="H172" i="44"/>
  <c r="G172" i="44"/>
  <c r="F172" i="44"/>
  <c r="B172" i="44"/>
  <c r="H171" i="44"/>
  <c r="G171" i="44"/>
  <c r="F171" i="44"/>
  <c r="B171" i="44"/>
  <c r="H170" i="44"/>
  <c r="G170" i="44"/>
  <c r="F170" i="44"/>
  <c r="B170" i="44"/>
  <c r="H169" i="44"/>
  <c r="G169" i="44"/>
  <c r="F169" i="44"/>
  <c r="B169" i="44"/>
  <c r="H168" i="44"/>
  <c r="G168" i="44"/>
  <c r="F168" i="44"/>
  <c r="B168" i="44"/>
  <c r="H167" i="44"/>
  <c r="G167" i="44"/>
  <c r="F167" i="44"/>
  <c r="F166" i="44" s="1"/>
  <c r="B167" i="44"/>
  <c r="H164" i="44"/>
  <c r="G164" i="44"/>
  <c r="F164" i="44"/>
  <c r="B164" i="44"/>
  <c r="H163" i="44"/>
  <c r="G163" i="44"/>
  <c r="F163" i="44"/>
  <c r="B163" i="44"/>
  <c r="H162" i="44"/>
  <c r="G162" i="44"/>
  <c r="F162" i="44"/>
  <c r="B162" i="44"/>
  <c r="H161" i="44"/>
  <c r="G161" i="44"/>
  <c r="F161" i="44"/>
  <c r="B161" i="44"/>
  <c r="H160" i="44"/>
  <c r="G160" i="44"/>
  <c r="F160" i="44"/>
  <c r="B160" i="44"/>
  <c r="H159" i="44"/>
  <c r="G159" i="44"/>
  <c r="F159" i="44"/>
  <c r="B159" i="44"/>
  <c r="H158" i="44"/>
  <c r="G158" i="44"/>
  <c r="F158" i="44"/>
  <c r="B158" i="44"/>
  <c r="H157" i="44"/>
  <c r="G157" i="44"/>
  <c r="F157" i="44"/>
  <c r="B157" i="44"/>
  <c r="H156" i="44"/>
  <c r="G156" i="44"/>
  <c r="F156" i="44"/>
  <c r="B156" i="44"/>
  <c r="H155" i="44"/>
  <c r="G155" i="44"/>
  <c r="F155" i="44"/>
  <c r="B155" i="44"/>
  <c r="H154" i="44"/>
  <c r="G154" i="44"/>
  <c r="F154" i="44"/>
  <c r="B154" i="44"/>
  <c r="H153" i="44"/>
  <c r="G153" i="44"/>
  <c r="F153" i="44"/>
  <c r="B153" i="44"/>
  <c r="H152" i="44"/>
  <c r="G152" i="44"/>
  <c r="F152" i="44"/>
  <c r="B152" i="44"/>
  <c r="H151" i="44"/>
  <c r="G151" i="44"/>
  <c r="F151" i="44"/>
  <c r="B151" i="44"/>
  <c r="H150" i="44"/>
  <c r="G150" i="44"/>
  <c r="F150" i="44"/>
  <c r="B150" i="44"/>
  <c r="H149" i="44"/>
  <c r="G149" i="44"/>
  <c r="F149" i="44"/>
  <c r="B149" i="44"/>
  <c r="H148" i="44"/>
  <c r="G148" i="44"/>
  <c r="F148" i="44"/>
  <c r="B148" i="44"/>
  <c r="H147" i="44"/>
  <c r="G147" i="44"/>
  <c r="F147" i="44"/>
  <c r="B147" i="44"/>
  <c r="H146" i="44"/>
  <c r="G146" i="44"/>
  <c r="F146" i="44"/>
  <c r="B146" i="44"/>
  <c r="H145" i="44"/>
  <c r="G145" i="44"/>
  <c r="F145" i="44"/>
  <c r="B145" i="44"/>
  <c r="H143" i="44"/>
  <c r="G143" i="44"/>
  <c r="F143" i="44"/>
  <c r="B143" i="44"/>
  <c r="H142" i="44"/>
  <c r="G142" i="44"/>
  <c r="F142" i="44"/>
  <c r="B142" i="44"/>
  <c r="H141" i="44"/>
  <c r="G141" i="44"/>
  <c r="F141" i="44"/>
  <c r="B141" i="44"/>
  <c r="H140" i="44"/>
  <c r="G140" i="44"/>
  <c r="F140" i="44"/>
  <c r="B140" i="44"/>
  <c r="H139" i="44"/>
  <c r="G139" i="44"/>
  <c r="F139" i="44"/>
  <c r="B139" i="44"/>
  <c r="H138" i="44"/>
  <c r="G138" i="44"/>
  <c r="F138" i="44"/>
  <c r="B138" i="44"/>
  <c r="H133" i="44"/>
  <c r="G133" i="44"/>
  <c r="F133" i="44"/>
  <c r="B133" i="44"/>
  <c r="H118" i="44"/>
  <c r="G118" i="44"/>
  <c r="F118" i="44"/>
  <c r="B118" i="44"/>
  <c r="H117" i="44"/>
  <c r="G117" i="44"/>
  <c r="F117" i="44"/>
  <c r="B117" i="44"/>
  <c r="H116" i="44"/>
  <c r="G116" i="44"/>
  <c r="F116" i="44"/>
  <c r="B116" i="44"/>
  <c r="H115" i="44"/>
  <c r="G115" i="44"/>
  <c r="F115" i="44"/>
  <c r="F114" i="44" s="1"/>
  <c r="B115" i="44"/>
  <c r="H112" i="44"/>
  <c r="G112" i="44"/>
  <c r="F112" i="44"/>
  <c r="B112" i="44"/>
  <c r="H111" i="44"/>
  <c r="G111" i="44"/>
  <c r="F111" i="44"/>
  <c r="B111" i="44"/>
  <c r="H110" i="44"/>
  <c r="G110" i="44"/>
  <c r="F110" i="44"/>
  <c r="B110" i="44"/>
  <c r="H109" i="44"/>
  <c r="G109" i="44"/>
  <c r="F109" i="44"/>
  <c r="B109" i="44"/>
  <c r="H108" i="44"/>
  <c r="G108" i="44"/>
  <c r="F108" i="44"/>
  <c r="B108" i="44"/>
  <c r="H107" i="44"/>
  <c r="G107" i="44"/>
  <c r="F107" i="44"/>
  <c r="B107" i="44"/>
  <c r="H106" i="44"/>
  <c r="G106" i="44"/>
  <c r="F106" i="44"/>
  <c r="B106" i="44"/>
  <c r="H105" i="44"/>
  <c r="G105" i="44"/>
  <c r="F105" i="44"/>
  <c r="B105" i="44"/>
  <c r="H104" i="44"/>
  <c r="G104" i="44"/>
  <c r="F104" i="44"/>
  <c r="B104" i="44"/>
  <c r="H103" i="44"/>
  <c r="G103" i="44"/>
  <c r="F103" i="44"/>
  <c r="B103" i="44"/>
  <c r="H102" i="44"/>
  <c r="G102" i="44"/>
  <c r="F102" i="44"/>
  <c r="B102" i="44"/>
  <c r="H101" i="44"/>
  <c r="G101" i="44"/>
  <c r="F101" i="44"/>
  <c r="H100" i="44"/>
  <c r="G100" i="44"/>
  <c r="F100" i="44"/>
  <c r="H99" i="44"/>
  <c r="G99" i="44"/>
  <c r="F99" i="44"/>
  <c r="H98" i="44"/>
  <c r="G98" i="44"/>
  <c r="F98" i="44"/>
  <c r="B98" i="44"/>
  <c r="H97" i="44"/>
  <c r="G97" i="44"/>
  <c r="F97" i="44"/>
  <c r="B97" i="44"/>
  <c r="H96" i="44"/>
  <c r="G96" i="44"/>
  <c r="F96" i="44"/>
  <c r="B96" i="44"/>
  <c r="H95" i="44"/>
  <c r="G95" i="44"/>
  <c r="F95" i="44"/>
  <c r="B95" i="44"/>
  <c r="H94" i="44"/>
  <c r="G94" i="44"/>
  <c r="F94" i="44"/>
  <c r="B94" i="44"/>
  <c r="H93" i="44"/>
  <c r="G93" i="44"/>
  <c r="F93" i="44"/>
  <c r="B93" i="44"/>
  <c r="H92" i="44"/>
  <c r="G92" i="44"/>
  <c r="F92" i="44"/>
  <c r="B92" i="44"/>
  <c r="H91" i="44"/>
  <c r="G91" i="44"/>
  <c r="F91" i="44"/>
  <c r="B91" i="44"/>
  <c r="H90" i="44"/>
  <c r="G90" i="44"/>
  <c r="F90" i="44"/>
  <c r="B90" i="44"/>
  <c r="H89" i="44"/>
  <c r="G89" i="44"/>
  <c r="F89" i="44"/>
  <c r="B89" i="44"/>
  <c r="H88" i="44"/>
  <c r="G88" i="44"/>
  <c r="H87" i="44"/>
  <c r="G87" i="44"/>
  <c r="F87" i="44"/>
  <c r="F88" i="44" s="1"/>
  <c r="B87" i="44"/>
  <c r="B88" i="44" s="1"/>
  <c r="H86" i="44"/>
  <c r="G86" i="44"/>
  <c r="F86" i="44"/>
  <c r="B86" i="44"/>
  <c r="H85" i="44"/>
  <c r="G85" i="44"/>
  <c r="F85" i="44"/>
  <c r="F84" i="44" s="1"/>
  <c r="B85" i="44"/>
  <c r="H82" i="44"/>
  <c r="G82" i="44"/>
  <c r="F82" i="44"/>
  <c r="B82" i="44"/>
  <c r="H81" i="44"/>
  <c r="G81" i="44"/>
  <c r="F81" i="44"/>
  <c r="B81" i="44"/>
  <c r="H75" i="44"/>
  <c r="G75" i="44"/>
  <c r="F75" i="44"/>
  <c r="B75" i="44"/>
  <c r="H74" i="44"/>
  <c r="G74" i="44"/>
  <c r="F74" i="44"/>
  <c r="B74" i="44"/>
  <c r="H66" i="44"/>
  <c r="G66" i="44"/>
  <c r="F66" i="44"/>
  <c r="B66" i="44"/>
  <c r="H65" i="44"/>
  <c r="G65" i="44"/>
  <c r="F65" i="44"/>
  <c r="B65" i="44"/>
  <c r="H64" i="44"/>
  <c r="G64" i="44"/>
  <c r="F64" i="44"/>
  <c r="B64" i="44"/>
  <c r="H63" i="44"/>
  <c r="G63" i="44"/>
  <c r="F63" i="44"/>
  <c r="B63" i="44"/>
  <c r="H62" i="44"/>
  <c r="G62" i="44"/>
  <c r="F62" i="44"/>
  <c r="B62" i="44"/>
  <c r="H61" i="44"/>
  <c r="G61" i="44"/>
  <c r="F61" i="44"/>
  <c r="B61" i="44"/>
  <c r="H60" i="44"/>
  <c r="G60" i="44"/>
  <c r="F60" i="44"/>
  <c r="B60" i="44"/>
  <c r="H59" i="44"/>
  <c r="G59" i="44"/>
  <c r="F59" i="44"/>
  <c r="B59" i="44"/>
  <c r="H58" i="44"/>
  <c r="G58" i="44"/>
  <c r="F58" i="44"/>
  <c r="B58" i="44"/>
  <c r="H51" i="44"/>
  <c r="G51" i="44"/>
  <c r="F51" i="44"/>
  <c r="H50" i="44"/>
  <c r="G50" i="44"/>
  <c r="F50" i="44"/>
  <c r="B50" i="44"/>
  <c r="H49" i="44"/>
  <c r="G49" i="44"/>
  <c r="F49" i="44"/>
  <c r="B49" i="44"/>
  <c r="H48" i="44"/>
  <c r="G48" i="44"/>
  <c r="F48" i="44"/>
  <c r="B48" i="44"/>
  <c r="H47" i="44"/>
  <c r="G47" i="44"/>
  <c r="F47" i="44"/>
  <c r="B47" i="44"/>
  <c r="H42" i="44"/>
  <c r="G42" i="44"/>
  <c r="F42" i="44"/>
  <c r="B42" i="44"/>
  <c r="H41" i="44"/>
  <c r="G41" i="44"/>
  <c r="F41" i="44"/>
  <c r="B41" i="44"/>
  <c r="H40" i="44"/>
  <c r="G40" i="44"/>
  <c r="F40" i="44"/>
  <c r="B40" i="44"/>
  <c r="H39" i="44"/>
  <c r="G39" i="44"/>
  <c r="F39" i="44"/>
  <c r="B39" i="44"/>
  <c r="H36" i="44"/>
  <c r="G36" i="44"/>
  <c r="F36" i="44"/>
  <c r="B36" i="44"/>
  <c r="H34" i="44"/>
  <c r="G34" i="44"/>
  <c r="F34" i="44"/>
  <c r="B34" i="44"/>
  <c r="H33" i="44"/>
  <c r="G33" i="44"/>
  <c r="F33" i="44"/>
  <c r="B33" i="44"/>
  <c r="H32" i="44"/>
  <c r="G32" i="44"/>
  <c r="F32" i="44"/>
  <c r="B32" i="44"/>
  <c r="H31" i="44"/>
  <c r="G31" i="44"/>
  <c r="F31" i="44"/>
  <c r="B31" i="44"/>
  <c r="H27" i="44"/>
  <c r="G27" i="44"/>
  <c r="F27" i="44"/>
  <c r="B27" i="44"/>
  <c r="H26" i="44"/>
  <c r="G26" i="44"/>
  <c r="F26" i="44"/>
  <c r="B26" i="44"/>
  <c r="H25" i="44"/>
  <c r="G25" i="44"/>
  <c r="F25" i="44"/>
  <c r="B25" i="44"/>
  <c r="H23" i="44"/>
  <c r="G23" i="44"/>
  <c r="F23" i="44"/>
  <c r="B23" i="44"/>
  <c r="B184" i="40"/>
  <c r="B185" i="40"/>
  <c r="F122" i="8"/>
  <c r="F108" i="8"/>
  <c r="G108" i="8"/>
  <c r="H108" i="8"/>
  <c r="B108" i="8"/>
  <c r="B104" i="8"/>
  <c r="B111" i="8"/>
  <c r="H116" i="40"/>
  <c r="G116" i="40"/>
  <c r="F116" i="40"/>
  <c r="B116" i="40"/>
  <c r="H115" i="40"/>
  <c r="G115" i="40"/>
  <c r="F115" i="40"/>
  <c r="B115" i="40"/>
  <c r="H113" i="40"/>
  <c r="G113" i="40"/>
  <c r="F113" i="40"/>
  <c r="F112" i="40" s="1"/>
  <c r="B113" i="40"/>
  <c r="F109" i="8"/>
  <c r="G109" i="8"/>
  <c r="H109" i="8"/>
  <c r="B112" i="8"/>
  <c r="F112" i="8"/>
  <c r="G112" i="8"/>
  <c r="H112" i="8"/>
  <c r="H133" i="40"/>
  <c r="G133" i="40"/>
  <c r="F133" i="40"/>
  <c r="B133" i="40"/>
  <c r="G63" i="40"/>
  <c r="F63" i="40"/>
  <c r="B63" i="40"/>
  <c r="G62" i="40"/>
  <c r="F62" i="40"/>
  <c r="B62" i="40"/>
  <c r="G61" i="40"/>
  <c r="F61" i="40"/>
  <c r="B61" i="40"/>
  <c r="H58" i="40"/>
  <c r="G58" i="40"/>
  <c r="F58" i="40"/>
  <c r="B58" i="40"/>
  <c r="G56" i="40"/>
  <c r="F56" i="40"/>
  <c r="B56" i="40"/>
  <c r="G55" i="40"/>
  <c r="F55" i="40"/>
  <c r="B55" i="40"/>
  <c r="B183" i="40"/>
  <c r="H173" i="40"/>
  <c r="G173" i="40"/>
  <c r="F173" i="40"/>
  <c r="B173" i="40"/>
  <c r="H172" i="40"/>
  <c r="G172" i="40"/>
  <c r="F172" i="40"/>
  <c r="B172" i="40"/>
  <c r="H171" i="40"/>
  <c r="G171" i="40"/>
  <c r="F171" i="40"/>
  <c r="B171" i="40"/>
  <c r="H170" i="40"/>
  <c r="G170" i="40"/>
  <c r="H169" i="40"/>
  <c r="G169" i="40"/>
  <c r="F169" i="40"/>
  <c r="B169" i="40"/>
  <c r="H161" i="40"/>
  <c r="G161" i="40"/>
  <c r="F161" i="40"/>
  <c r="B161" i="40"/>
  <c r="H160" i="40"/>
  <c r="G160" i="40"/>
  <c r="F160" i="40"/>
  <c r="B160" i="40"/>
  <c r="H159" i="40"/>
  <c r="G159" i="40"/>
  <c r="F159" i="40"/>
  <c r="B159" i="40"/>
  <c r="H158" i="40"/>
  <c r="G158" i="40"/>
  <c r="F158" i="40"/>
  <c r="B158" i="40"/>
  <c r="H157" i="40"/>
  <c r="G157" i="40"/>
  <c r="F157" i="40"/>
  <c r="B157" i="40"/>
  <c r="H156" i="40"/>
  <c r="G156" i="40"/>
  <c r="F156" i="40"/>
  <c r="F155" i="40" s="1"/>
  <c r="B156" i="40"/>
  <c r="H153" i="40"/>
  <c r="G153" i="40"/>
  <c r="F153" i="40"/>
  <c r="B153" i="40"/>
  <c r="H152" i="40"/>
  <c r="G152" i="40"/>
  <c r="F152" i="40"/>
  <c r="B152" i="40"/>
  <c r="H151" i="40"/>
  <c r="G151" i="40"/>
  <c r="F151" i="40"/>
  <c r="B151" i="40"/>
  <c r="H150" i="40"/>
  <c r="G150" i="40"/>
  <c r="F150" i="40"/>
  <c r="B150" i="40"/>
  <c r="H149" i="40"/>
  <c r="G149" i="40"/>
  <c r="F149" i="40"/>
  <c r="B149" i="40"/>
  <c r="H148" i="40"/>
  <c r="G148" i="40"/>
  <c r="F148" i="40"/>
  <c r="B148" i="40"/>
  <c r="H147" i="40"/>
  <c r="G147" i="40"/>
  <c r="F147" i="40"/>
  <c r="B147" i="40"/>
  <c r="H146" i="40"/>
  <c r="G146" i="40"/>
  <c r="F146" i="40"/>
  <c r="B146" i="40"/>
  <c r="H145" i="40"/>
  <c r="G145" i="40"/>
  <c r="F145" i="40"/>
  <c r="B145" i="40"/>
  <c r="H144" i="40"/>
  <c r="G144" i="40"/>
  <c r="F144" i="40"/>
  <c r="B144" i="40"/>
  <c r="H143" i="40"/>
  <c r="G143" i="40"/>
  <c r="F143" i="40"/>
  <c r="B143" i="40"/>
  <c r="H142" i="40"/>
  <c r="G142" i="40"/>
  <c r="F142" i="40"/>
  <c r="B142" i="40"/>
  <c r="H141" i="40"/>
  <c r="G141" i="40"/>
  <c r="F141" i="40"/>
  <c r="B141" i="40"/>
  <c r="H140" i="40"/>
  <c r="G140" i="40"/>
  <c r="F140" i="40"/>
  <c r="B140" i="40"/>
  <c r="H139" i="40"/>
  <c r="G139" i="40"/>
  <c r="F139" i="40"/>
  <c r="B139" i="40"/>
  <c r="H138" i="40"/>
  <c r="G138" i="40"/>
  <c r="F138" i="40"/>
  <c r="B138" i="40"/>
  <c r="H137" i="40"/>
  <c r="G137" i="40"/>
  <c r="F137" i="40"/>
  <c r="B137" i="40"/>
  <c r="H136" i="40"/>
  <c r="G136" i="40"/>
  <c r="F136" i="40"/>
  <c r="B136" i="40"/>
  <c r="H135" i="40"/>
  <c r="G135" i="40"/>
  <c r="F135" i="40"/>
  <c r="B135" i="40"/>
  <c r="H134" i="40"/>
  <c r="G134" i="40"/>
  <c r="F134" i="40"/>
  <c r="B134" i="40"/>
  <c r="H132" i="40"/>
  <c r="G132" i="40"/>
  <c r="F132" i="40"/>
  <c r="B132" i="40"/>
  <c r="H131" i="40"/>
  <c r="G131" i="40"/>
  <c r="F131" i="40"/>
  <c r="B131" i="40"/>
  <c r="H130" i="40"/>
  <c r="G130" i="40"/>
  <c r="F130" i="40"/>
  <c r="B130" i="40"/>
  <c r="H129" i="40"/>
  <c r="G129" i="40"/>
  <c r="F129" i="40"/>
  <c r="B129" i="40"/>
  <c r="H128" i="40"/>
  <c r="G128" i="40"/>
  <c r="F128" i="40"/>
  <c r="B128" i="40"/>
  <c r="H127" i="40"/>
  <c r="G127" i="40"/>
  <c r="F127" i="40"/>
  <c r="B127" i="40"/>
  <c r="H122" i="40"/>
  <c r="G122" i="40"/>
  <c r="F122" i="40"/>
  <c r="B122" i="40"/>
  <c r="H110" i="40"/>
  <c r="G110" i="40"/>
  <c r="F110" i="40"/>
  <c r="B110" i="40"/>
  <c r="H109" i="40"/>
  <c r="G109" i="40"/>
  <c r="F109" i="40"/>
  <c r="B109" i="40"/>
  <c r="H108" i="40"/>
  <c r="G108" i="40"/>
  <c r="F108" i="40"/>
  <c r="B108" i="40"/>
  <c r="H107" i="40"/>
  <c r="G107" i="40"/>
  <c r="F107" i="40"/>
  <c r="F106" i="40" s="1"/>
  <c r="B107" i="40"/>
  <c r="H104" i="40"/>
  <c r="G104" i="40"/>
  <c r="F104" i="40"/>
  <c r="B104" i="40"/>
  <c r="H103" i="40"/>
  <c r="G103" i="40"/>
  <c r="F103" i="40"/>
  <c r="B103" i="40"/>
  <c r="H102" i="40"/>
  <c r="G102" i="40"/>
  <c r="F102" i="40"/>
  <c r="B102" i="40"/>
  <c r="H101" i="40"/>
  <c r="G101" i="40"/>
  <c r="F101" i="40"/>
  <c r="B101" i="40"/>
  <c r="H100" i="40"/>
  <c r="G100" i="40"/>
  <c r="F100" i="40"/>
  <c r="B100" i="40"/>
  <c r="H99" i="40"/>
  <c r="G99" i="40"/>
  <c r="F99" i="40"/>
  <c r="B99" i="40"/>
  <c r="H98" i="40"/>
  <c r="G98" i="40"/>
  <c r="F98" i="40"/>
  <c r="B98" i="40"/>
  <c r="H97" i="40"/>
  <c r="G97" i="40"/>
  <c r="F97" i="40"/>
  <c r="B97" i="40"/>
  <c r="H96" i="40"/>
  <c r="G96" i="40"/>
  <c r="F96" i="40"/>
  <c r="H95" i="40"/>
  <c r="G95" i="40"/>
  <c r="F95" i="40"/>
  <c r="H94" i="40"/>
  <c r="G94" i="40"/>
  <c r="F94" i="40"/>
  <c r="H93" i="40"/>
  <c r="G93" i="40"/>
  <c r="F93" i="40"/>
  <c r="B93" i="40"/>
  <c r="H92" i="40"/>
  <c r="G92" i="40"/>
  <c r="F92" i="40"/>
  <c r="B92" i="40"/>
  <c r="H91" i="40"/>
  <c r="G91" i="40"/>
  <c r="F91" i="40"/>
  <c r="B91" i="40"/>
  <c r="H90" i="40"/>
  <c r="G90" i="40"/>
  <c r="F90" i="40"/>
  <c r="B90" i="40"/>
  <c r="H89" i="40"/>
  <c r="G89" i="40"/>
  <c r="F89" i="40"/>
  <c r="B89" i="40"/>
  <c r="H88" i="40"/>
  <c r="G88" i="40"/>
  <c r="F88" i="40"/>
  <c r="B88" i="40"/>
  <c r="H87" i="40"/>
  <c r="G87" i="40"/>
  <c r="F87" i="40"/>
  <c r="B87" i="40"/>
  <c r="H86" i="40"/>
  <c r="G86" i="40"/>
  <c r="F86" i="40"/>
  <c r="B86" i="40"/>
  <c r="H85" i="40"/>
  <c r="G85" i="40"/>
  <c r="F85" i="40"/>
  <c r="B85" i="40"/>
  <c r="H84" i="40"/>
  <c r="G84" i="40"/>
  <c r="F84" i="40"/>
  <c r="B84" i="40"/>
  <c r="H83" i="40"/>
  <c r="G83" i="40"/>
  <c r="H82" i="40"/>
  <c r="G82" i="40"/>
  <c r="F82" i="40"/>
  <c r="F83" i="40" s="1"/>
  <c r="B82" i="40"/>
  <c r="B83" i="40" s="1"/>
  <c r="H81" i="40"/>
  <c r="G81" i="40"/>
  <c r="F81" i="40"/>
  <c r="B81" i="40"/>
  <c r="H80" i="40"/>
  <c r="G80" i="40"/>
  <c r="F80" i="40"/>
  <c r="F79" i="40" s="1"/>
  <c r="B80" i="40"/>
  <c r="H77" i="40"/>
  <c r="G77" i="40"/>
  <c r="F77" i="40"/>
  <c r="B77" i="40"/>
  <c r="H76" i="40"/>
  <c r="G76" i="40"/>
  <c r="F76" i="40"/>
  <c r="B76" i="40"/>
  <c r="H70" i="40"/>
  <c r="G70" i="40"/>
  <c r="F70" i="40"/>
  <c r="B70" i="40"/>
  <c r="H69" i="40"/>
  <c r="G69" i="40"/>
  <c r="F69" i="40"/>
  <c r="B69" i="40"/>
  <c r="H60" i="40"/>
  <c r="G60" i="40"/>
  <c r="F60" i="40"/>
  <c r="B60" i="40"/>
  <c r="H59" i="40"/>
  <c r="G59" i="40"/>
  <c r="F59" i="40"/>
  <c r="B59" i="40"/>
  <c r="H57" i="40"/>
  <c r="G57" i="40"/>
  <c r="F57" i="40"/>
  <c r="B57" i="40"/>
  <c r="H63" i="40"/>
  <c r="H62" i="40"/>
  <c r="H61" i="40"/>
  <c r="H55" i="40"/>
  <c r="H56" i="40"/>
  <c r="G122" i="8"/>
  <c r="H122" i="8"/>
  <c r="B122" i="8"/>
  <c r="G43" i="33"/>
  <c r="H43" i="33"/>
  <c r="B32" i="8"/>
  <c r="F32" i="8"/>
  <c r="G32" i="8"/>
  <c r="H32" i="8"/>
  <c r="H41" i="8"/>
  <c r="B24" i="34"/>
  <c r="B25" i="34"/>
  <c r="B23" i="34"/>
  <c r="B26" i="34"/>
  <c r="B27" i="34"/>
  <c r="B28" i="34"/>
  <c r="B29" i="34"/>
  <c r="B30" i="34"/>
  <c r="B31" i="34"/>
  <c r="B32" i="34"/>
  <c r="B33" i="34"/>
  <c r="B34" i="34"/>
  <c r="B35" i="34"/>
  <c r="B36" i="34"/>
  <c r="B37" i="34"/>
  <c r="B38" i="34"/>
  <c r="B22" i="34"/>
  <c r="B21" i="34"/>
  <c r="B46" i="34"/>
  <c r="B31" i="8"/>
  <c r="B44" i="34"/>
  <c r="H40" i="33"/>
  <c r="G40" i="33"/>
  <c r="B40" i="33"/>
  <c r="G200" i="8"/>
  <c r="H200" i="8"/>
  <c r="G202" i="8"/>
  <c r="H202" i="8"/>
  <c r="B200" i="8"/>
  <c r="B202" i="8"/>
  <c r="H204" i="8"/>
  <c r="G204" i="8"/>
  <c r="B204" i="8"/>
  <c r="H203" i="8"/>
  <c r="G203" i="8"/>
  <c r="B203" i="8"/>
  <c r="G71" i="8"/>
  <c r="H71" i="8"/>
  <c r="B71" i="8"/>
  <c r="G201" i="8"/>
  <c r="H201" i="8"/>
  <c r="F169" i="8"/>
  <c r="G169" i="8"/>
  <c r="H169" i="8"/>
  <c r="B169" i="8"/>
  <c r="B221" i="8"/>
  <c r="G33" i="8"/>
  <c r="H33" i="8"/>
  <c r="G41" i="8"/>
  <c r="F33" i="8"/>
  <c r="F41" i="8"/>
  <c r="B33" i="8"/>
  <c r="G23" i="8"/>
  <c r="H23" i="8"/>
  <c r="G25" i="8"/>
  <c r="H25" i="8"/>
  <c r="G26" i="8"/>
  <c r="H26" i="8"/>
  <c r="G27" i="8"/>
  <c r="H27" i="8"/>
  <c r="G31" i="8"/>
  <c r="H31" i="8"/>
  <c r="G34" i="8"/>
  <c r="H34" i="8"/>
  <c r="G36" i="8"/>
  <c r="H36" i="8"/>
  <c r="G39" i="8"/>
  <c r="H39" i="8"/>
  <c r="G40" i="8"/>
  <c r="H40" i="8"/>
  <c r="G42" i="8"/>
  <c r="H42" i="8"/>
  <c r="G47" i="8"/>
  <c r="H47" i="8"/>
  <c r="G48" i="8"/>
  <c r="H48" i="8"/>
  <c r="G49" i="8"/>
  <c r="H49" i="8"/>
  <c r="G50" i="8"/>
  <c r="H50" i="8"/>
  <c r="G51" i="8"/>
  <c r="H51" i="8"/>
  <c r="F23" i="8"/>
  <c r="F25" i="8"/>
  <c r="F26" i="8"/>
  <c r="F27" i="8"/>
  <c r="F31" i="8"/>
  <c r="F34" i="8"/>
  <c r="F36" i="8"/>
  <c r="F39" i="8"/>
  <c r="F40" i="8"/>
  <c r="F42" i="8"/>
  <c r="F47" i="8"/>
  <c r="F48" i="8"/>
  <c r="F49" i="8"/>
  <c r="F50" i="8"/>
  <c r="F51" i="8"/>
  <c r="B48" i="8"/>
  <c r="G27" i="34"/>
  <c r="G26" i="34"/>
  <c r="G25" i="34"/>
  <c r="B47" i="8"/>
  <c r="H26" i="33"/>
  <c r="G26" i="33"/>
  <c r="G24" i="33"/>
  <c r="H24" i="33" s="1"/>
  <c r="H29" i="33"/>
  <c r="G29" i="33"/>
  <c r="B29" i="33"/>
  <c r="H30" i="33"/>
  <c r="G30" i="33"/>
  <c r="B30" i="33"/>
  <c r="H28" i="33"/>
  <c r="G28" i="33"/>
  <c r="B28" i="33"/>
  <c r="F184" i="8"/>
  <c r="G184" i="8"/>
  <c r="H184" i="8"/>
  <c r="B184" i="8"/>
  <c r="F175" i="8"/>
  <c r="G175" i="8"/>
  <c r="F176" i="8"/>
  <c r="G176" i="8"/>
  <c r="H176" i="8"/>
  <c r="B175" i="8"/>
  <c r="H175" i="8"/>
  <c r="F174" i="8"/>
  <c r="G174" i="8"/>
  <c r="B174" i="8"/>
  <c r="H174" i="8"/>
  <c r="B42" i="8"/>
  <c r="B219" i="8"/>
  <c r="F129" i="8"/>
  <c r="G129" i="8"/>
  <c r="H129" i="8"/>
  <c r="B129" i="8"/>
  <c r="F119" i="8"/>
  <c r="H119" i="8"/>
  <c r="G119" i="8"/>
  <c r="B119" i="8"/>
  <c r="H120" i="8"/>
  <c r="G120" i="8"/>
  <c r="H121" i="8"/>
  <c r="F120" i="8"/>
  <c r="B121" i="8"/>
  <c r="B120" i="8"/>
  <c r="G121" i="8"/>
  <c r="F121" i="8"/>
  <c r="F82" i="8"/>
  <c r="F81" i="8" s="1"/>
  <c r="G82" i="8"/>
  <c r="H82" i="8"/>
  <c r="B82" i="8"/>
  <c r="F79" i="8"/>
  <c r="G79" i="8"/>
  <c r="H79" i="8"/>
  <c r="B79" i="8"/>
  <c r="G173" i="8"/>
  <c r="B63" i="23"/>
  <c r="G64" i="23"/>
  <c r="H98" i="8"/>
  <c r="B125" i="8"/>
  <c r="G183" i="8"/>
  <c r="B94" i="8"/>
  <c r="B26" i="24"/>
  <c r="B27" i="24"/>
  <c r="G92" i="8"/>
  <c r="H110" i="8"/>
  <c r="G40" i="23"/>
  <c r="B171" i="8"/>
  <c r="H187" i="8"/>
  <c r="B61" i="8"/>
  <c r="B52" i="23"/>
  <c r="G39" i="23"/>
  <c r="H192" i="8"/>
  <c r="F190" i="8"/>
  <c r="F191" i="8"/>
  <c r="G64" i="8"/>
  <c r="H84" i="8"/>
  <c r="F173" i="8"/>
  <c r="G93" i="8"/>
  <c r="B95" i="8"/>
  <c r="G48" i="23"/>
  <c r="F189" i="8"/>
  <c r="B170" i="8"/>
  <c r="G127" i="8"/>
  <c r="B57" i="23"/>
  <c r="B25" i="8"/>
  <c r="H190" i="8"/>
  <c r="B135" i="8"/>
  <c r="G61" i="23"/>
  <c r="B56" i="8"/>
  <c r="B22" i="24"/>
  <c r="G110" i="8"/>
  <c r="B59" i="23"/>
  <c r="H125" i="8"/>
  <c r="G99" i="8"/>
  <c r="B182" i="8"/>
  <c r="G100" i="8"/>
  <c r="G62" i="8"/>
  <c r="G178" i="8"/>
  <c r="B30" i="23"/>
  <c r="G47" i="23"/>
  <c r="G22" i="23"/>
  <c r="H22" i="23" s="1"/>
  <c r="H24" i="23" s="1"/>
  <c r="B47" i="23"/>
  <c r="B23" i="24"/>
  <c r="H90" i="8"/>
  <c r="B96" i="8"/>
  <c r="B54" i="23"/>
  <c r="B23" i="8"/>
  <c r="G56" i="23"/>
  <c r="G38" i="23"/>
  <c r="B189" i="8"/>
  <c r="B92" i="8"/>
  <c r="B113" i="8"/>
  <c r="B46" i="23"/>
  <c r="G115" i="8"/>
  <c r="G50" i="23"/>
  <c r="B37" i="23"/>
  <c r="G111" i="8"/>
  <c r="B63" i="8"/>
  <c r="G188" i="8"/>
  <c r="B89" i="8"/>
  <c r="G36" i="23"/>
  <c r="G172" i="8"/>
  <c r="F97" i="8"/>
  <c r="F91" i="8"/>
  <c r="G97" i="8"/>
  <c r="G84" i="8"/>
  <c r="G189" i="8"/>
  <c r="B41" i="8"/>
  <c r="B64" i="23"/>
  <c r="B53" i="23"/>
  <c r="B55" i="23"/>
  <c r="H78" i="8"/>
  <c r="F59" i="8"/>
  <c r="G31" i="23"/>
  <c r="G125" i="8"/>
  <c r="B177" i="8"/>
  <c r="G63" i="23"/>
  <c r="B61" i="23"/>
  <c r="B49" i="23"/>
  <c r="B109" i="8"/>
  <c r="G192" i="8"/>
  <c r="B187" i="8"/>
  <c r="G60" i="8"/>
  <c r="G170" i="8"/>
  <c r="G90" i="8"/>
  <c r="G46" i="23"/>
  <c r="B192" i="8"/>
  <c r="H97" i="8"/>
  <c r="G91" i="8"/>
  <c r="B39" i="23"/>
  <c r="F87" i="8"/>
  <c r="G37" i="23"/>
  <c r="G58" i="23"/>
  <c r="F64" i="8"/>
  <c r="H182" i="8"/>
  <c r="G59" i="8"/>
  <c r="H89" i="8"/>
  <c r="F93" i="8"/>
  <c r="G62" i="23"/>
  <c r="B57" i="8"/>
  <c r="G135" i="8"/>
  <c r="B84" i="8"/>
  <c r="B85" i="8" s="1"/>
  <c r="B87" i="8"/>
  <c r="B62" i="23"/>
  <c r="G83" i="8"/>
  <c r="F187" i="8"/>
  <c r="F186" i="8" s="1"/>
  <c r="G30" i="23"/>
  <c r="H115" i="8"/>
  <c r="H183" i="8"/>
  <c r="H173" i="8"/>
  <c r="F113" i="8"/>
  <c r="F98" i="8"/>
  <c r="G54" i="23"/>
  <c r="H189" i="8"/>
  <c r="F60" i="8"/>
  <c r="H93" i="8"/>
  <c r="B58" i="23"/>
  <c r="B90" i="8"/>
  <c r="B27" i="8"/>
  <c r="G28" i="23"/>
  <c r="F95" i="8"/>
  <c r="B190" i="8"/>
  <c r="B93" i="8"/>
  <c r="B114" i="8"/>
  <c r="G70" i="8"/>
  <c r="F88" i="8"/>
  <c r="F56" i="8"/>
  <c r="F172" i="8"/>
  <c r="G52" i="23"/>
  <c r="B34" i="8"/>
  <c r="B36" i="23"/>
  <c r="H88" i="8"/>
  <c r="B40" i="8"/>
  <c r="F182" i="8"/>
  <c r="B25" i="24"/>
  <c r="H191" i="8"/>
  <c r="G53" i="23"/>
  <c r="G57" i="23"/>
  <c r="G78" i="8"/>
  <c r="F62" i="8"/>
  <c r="B28" i="23"/>
  <c r="H92" i="8"/>
  <c r="B24" i="24"/>
  <c r="B173" i="8"/>
  <c r="F58" i="8"/>
  <c r="G98" i="8"/>
  <c r="G55" i="23"/>
  <c r="G114" i="8"/>
  <c r="B83" i="8"/>
  <c r="B26" i="8"/>
  <c r="F89" i="8"/>
  <c r="B188" i="8"/>
  <c r="G59" i="23"/>
  <c r="B59" i="8"/>
  <c r="H170" i="8"/>
  <c r="B91" i="8"/>
  <c r="F90" i="8"/>
  <c r="G171" i="8"/>
  <c r="H87" i="8"/>
  <c r="F96" i="8"/>
  <c r="B62" i="8"/>
  <c r="F188" i="8"/>
  <c r="B88" i="8"/>
  <c r="H70" i="8"/>
  <c r="H96" i="8"/>
  <c r="F57" i="8"/>
  <c r="H172" i="8"/>
  <c r="H83" i="8"/>
  <c r="H114" i="8"/>
  <c r="G96" i="8"/>
  <c r="G113" i="8"/>
  <c r="B50" i="8"/>
  <c r="H135" i="8"/>
  <c r="G58" i="8"/>
  <c r="H113" i="8"/>
  <c r="B78" i="8"/>
  <c r="B172" i="8"/>
  <c r="B49" i="8"/>
  <c r="G94" i="8"/>
  <c r="G89" i="8"/>
  <c r="B70" i="8"/>
  <c r="F183" i="8"/>
  <c r="H94" i="8"/>
  <c r="G95" i="8"/>
  <c r="B191" i="8"/>
  <c r="G177" i="8"/>
  <c r="H91" i="8"/>
  <c r="B102" i="8"/>
  <c r="F192" i="8"/>
  <c r="B183" i="8"/>
  <c r="F111" i="8"/>
  <c r="H100" i="8"/>
  <c r="F63" i="8"/>
  <c r="H178" i="8"/>
  <c r="B56" i="23"/>
  <c r="F114" i="8"/>
  <c r="B100" i="8"/>
  <c r="G56" i="8"/>
  <c r="G49" i="23"/>
  <c r="F99" i="8"/>
  <c r="G63" i="8"/>
  <c r="F84" i="8"/>
  <c r="F85" i="8" s="1"/>
  <c r="B36" i="8"/>
  <c r="F92" i="8"/>
  <c r="F178" i="8"/>
  <c r="G51" i="23"/>
  <c r="B51" i="23"/>
  <c r="G57" i="8"/>
  <c r="B58" i="8"/>
  <c r="G85" i="8"/>
  <c r="F177" i="8"/>
  <c r="F127" i="8"/>
  <c r="G87" i="8"/>
  <c r="B176" i="8"/>
  <c r="F170" i="8"/>
  <c r="F61" i="8"/>
  <c r="G187" i="8"/>
  <c r="H95" i="8"/>
  <c r="H171" i="8"/>
  <c r="B127" i="8"/>
  <c r="F83" i="8"/>
  <c r="B38" i="23"/>
  <c r="H111" i="8"/>
  <c r="B64" i="8"/>
  <c r="H188" i="8"/>
  <c r="B40" i="23"/>
  <c r="F78" i="8"/>
  <c r="B31" i="23"/>
  <c r="B115" i="8"/>
  <c r="G190" i="8"/>
  <c r="B39" i="8"/>
  <c r="B216" i="8"/>
  <c r="H85" i="8"/>
  <c r="F94" i="8"/>
  <c r="F115" i="8"/>
  <c r="G182" i="8"/>
  <c r="F135" i="8"/>
  <c r="B21" i="24"/>
  <c r="B16" i="24" s="1" a="1"/>
  <c r="F110" i="8"/>
  <c r="F171" i="8"/>
  <c r="B60" i="8"/>
  <c r="G191" i="8"/>
  <c r="H99" i="8"/>
  <c r="G61" i="8"/>
  <c r="H177" i="8"/>
  <c r="B48" i="23"/>
  <c r="G88" i="8"/>
  <c r="B50" i="23"/>
  <c r="B110" i="8"/>
  <c r="G25" i="24"/>
  <c r="H25" i="24" s="1"/>
  <c r="G26" i="24"/>
  <c r="H26" i="24" s="1"/>
  <c r="G27" i="24"/>
  <c r="G21" i="24"/>
  <c r="H21" i="24" s="1"/>
  <c r="G22" i="24"/>
  <c r="H22" i="24" s="1"/>
  <c r="G23" i="24"/>
  <c r="H23" i="24" s="1"/>
  <c r="G24" i="24"/>
  <c r="H24" i="24" s="1"/>
  <c r="H30" i="23"/>
  <c r="H31" i="23"/>
  <c r="H59" i="8"/>
  <c r="H56" i="8"/>
  <c r="H60" i="23"/>
  <c r="H64" i="8"/>
  <c r="H63" i="8"/>
  <c r="H62" i="8"/>
  <c r="H57" i="8"/>
  <c r="H58" i="8"/>
  <c r="H60" i="8"/>
  <c r="H61" i="8"/>
  <c r="H28" i="23"/>
  <c r="H64" i="23"/>
  <c r="H63" i="23"/>
  <c r="H62" i="23"/>
  <c r="H61" i="23"/>
  <c r="H59" i="23"/>
  <c r="H58" i="23"/>
  <c r="H57" i="23"/>
  <c r="H56" i="23"/>
  <c r="H55" i="23"/>
  <c r="H54" i="23"/>
  <c r="H53" i="23"/>
  <c r="H52" i="23"/>
  <c r="H51" i="23"/>
  <c r="H50" i="23"/>
  <c r="H49" i="23"/>
  <c r="H48" i="23"/>
  <c r="H47" i="23"/>
  <c r="H46" i="23"/>
  <c r="H40" i="23"/>
  <c r="H39" i="23"/>
  <c r="H38" i="23"/>
  <c r="H37" i="23"/>
  <c r="H36" i="23"/>
  <c r="H35" i="44"/>
  <c r="H37" i="44"/>
  <c r="H41" i="23"/>
  <c r="H12" i="44"/>
  <c r="K14" i="44" s="1"/>
  <c r="K15" i="44" s="1"/>
  <c r="H12" i="8"/>
  <c r="K14" i="8" s="1"/>
  <c r="K15" i="8" s="1"/>
  <c r="H12" i="40"/>
  <c r="K14" i="40" s="1"/>
  <c r="K15" i="40" s="1"/>
  <c r="F80" i="44" l="1"/>
  <c r="F77" i="8"/>
  <c r="F75" i="40"/>
  <c r="H164" i="40"/>
  <c r="H175" i="44"/>
  <c r="H209" i="44" s="1"/>
  <c r="H175" i="40"/>
  <c r="H188" i="44"/>
  <c r="H67" i="44"/>
  <c r="H32" i="23"/>
  <c r="H65" i="23"/>
  <c r="H42" i="23"/>
  <c r="H65" i="8"/>
  <c r="H39" i="24"/>
  <c r="H58" i="24" s="1"/>
  <c r="H64" i="24" s="1"/>
  <c r="H195" i="8"/>
  <c r="F118" i="8"/>
  <c r="F185" i="8"/>
  <c r="B185" i="8"/>
  <c r="H44" i="33"/>
  <c r="H64" i="33" s="1"/>
  <c r="H69" i="33" s="1"/>
  <c r="H70" i="33" s="1"/>
  <c r="H52" i="8"/>
  <c r="H64" i="40"/>
  <c r="B73" i="40"/>
  <c r="F71" i="40"/>
  <c r="B71" i="40"/>
  <c r="F111" i="40"/>
  <c r="H111" i="40" s="1"/>
  <c r="B111" i="40"/>
  <c r="F154" i="40"/>
  <c r="B154" i="40"/>
  <c r="B174" i="40"/>
  <c r="F170" i="40"/>
  <c r="F168" i="40" s="1"/>
  <c r="F123" i="8"/>
  <c r="H123" i="8" s="1"/>
  <c r="B123" i="8"/>
  <c r="H52" i="44"/>
  <c r="B78" i="44"/>
  <c r="F76" i="44"/>
  <c r="B76" i="44"/>
  <c r="F119" i="44"/>
  <c r="H119" i="44" s="1"/>
  <c r="B119" i="44"/>
  <c r="F165" i="44"/>
  <c r="B165" i="44"/>
  <c r="B187" i="44"/>
  <c r="F183" i="44"/>
  <c r="F181" i="44" s="1"/>
  <c r="F205" i="8"/>
  <c r="H205" i="8" s="1"/>
  <c r="H207" i="8" s="1"/>
  <c r="B205" i="8"/>
  <c r="F201" i="8"/>
  <c r="F199" i="8" s="1"/>
  <c r="B74" i="8"/>
  <c r="F69" i="8"/>
  <c r="F103" i="8"/>
  <c r="H103" i="8" s="1"/>
  <c r="B103" i="8"/>
  <c r="F101" i="8"/>
  <c r="B101" i="8"/>
  <c r="F105" i="8"/>
  <c r="H105" i="8" s="1"/>
  <c r="B105" i="8"/>
  <c r="F215" i="8"/>
  <c r="F214" i="8"/>
  <c r="F196" i="44"/>
  <c r="F195" i="44"/>
  <c r="F107" i="8"/>
  <c r="H107" i="8" s="1"/>
  <c r="B107" i="8"/>
  <c r="F136" i="8"/>
  <c r="F123" i="40"/>
  <c r="F134" i="44"/>
  <c r="R8" i="6"/>
  <c r="K177" i="6"/>
  <c r="R5" i="6"/>
  <c r="M178" i="6"/>
  <c r="V8" i="6"/>
  <c r="M225" i="6"/>
  <c r="V5" i="6"/>
  <c r="M222" i="6"/>
  <c r="H70" i="23" l="1"/>
  <c r="H77" i="23" s="1"/>
  <c r="H78" i="23" s="1"/>
  <c r="G191" i="44"/>
  <c r="H191" i="44" s="1"/>
  <c r="H202" i="44" s="1"/>
  <c r="G178" i="40"/>
  <c r="H178" i="40" s="1"/>
  <c r="H187" i="40" s="1"/>
  <c r="G210" i="8"/>
  <c r="H210" i="8" s="1"/>
  <c r="H223" i="8" s="1"/>
  <c r="M224" i="6"/>
  <c r="V10" i="6"/>
  <c r="R10" i="6"/>
  <c r="W5" i="6"/>
  <c r="R7" i="6" s="1"/>
  <c r="W8" i="6"/>
  <c r="F174" i="44"/>
  <c r="F173" i="44"/>
  <c r="F163" i="40"/>
  <c r="F162" i="40"/>
  <c r="F193" i="8"/>
  <c r="F194" i="8"/>
  <c r="H101" i="8"/>
  <c r="H131" i="8" s="1"/>
  <c r="H230" i="8" s="1"/>
  <c r="H238" i="8" s="1"/>
  <c r="H239" i="8" s="1"/>
  <c r="F86" i="8"/>
  <c r="H76" i="44"/>
  <c r="H127" i="44" s="1"/>
  <c r="F73" i="44"/>
  <c r="H71" i="40"/>
  <c r="H118" i="40" s="1"/>
  <c r="F68" i="40"/>
  <c r="H208" i="44" l="1"/>
  <c r="H210" i="44" s="1"/>
  <c r="H218" i="44" s="1"/>
  <c r="H192" i="40"/>
  <c r="H200" i="40" s="1"/>
  <c r="H201" i="40" s="1"/>
  <c r="B194" i="8"/>
  <c r="B193" i="8"/>
  <c r="B163" i="40"/>
  <c r="B162" i="40"/>
  <c r="B174" i="44"/>
  <c r="B173" i="44"/>
  <c r="W9" i="6"/>
  <c r="W12" i="6"/>
  <c r="W13" i="6" s="1"/>
  <c r="Y8" i="6"/>
  <c r="X8" i="6"/>
  <c r="T9" i="6"/>
  <c r="S9" i="6"/>
  <c r="U9" i="6"/>
  <c r="V9" i="6"/>
  <c r="R9" i="6"/>
  <c r="S7" i="6"/>
  <c r="X5" i="6"/>
  <c r="S19" i="6"/>
  <c r="W7" i="6"/>
  <c r="T7" i="6"/>
  <c r="V19" i="6"/>
  <c r="S33" i="6"/>
  <c r="U7" i="6"/>
  <c r="W11" i="6"/>
  <c r="W10" i="6"/>
  <c r="N2" i="6"/>
  <c r="V7" i="6"/>
  <c r="A17" i="31" l="1"/>
  <c r="X11" i="6"/>
  <c r="X10" i="6"/>
  <c r="X12" i="6"/>
  <c r="X13" i="6" s="1"/>
  <c r="Y5" i="6"/>
  <c r="Y12" i="6" s="1"/>
  <c r="Y13" i="6" s="1"/>
  <c r="V1" i="31" l="1"/>
  <c r="D29" i="31"/>
  <c r="D30" i="31" s="1"/>
  <c r="D33" i="31" s="1"/>
  <c r="D35" i="31" s="1"/>
  <c r="F17" i="31" a="1"/>
  <c r="H17" i="31" a="1"/>
  <c r="G17" i="31" a="1"/>
  <c r="D17" i="31" a="1"/>
  <c r="E17" i="31" a="1"/>
  <c r="Y11" i="6"/>
  <c r="Y15" i="6" s="1"/>
  <c r="Y10" i="6"/>
  <c r="Y14" i="6" s="1"/>
  <c r="R25" i="6"/>
  <c r="D36" i="31" l="1"/>
  <c r="D38" i="31"/>
  <c r="S25" i="6"/>
  <c r="R26" i="6"/>
  <c r="S26" i="6" s="1"/>
  <c r="R27" i="6"/>
  <c r="S27" i="6" s="1"/>
  <c r="R28" i="6"/>
  <c r="S28" i="6" s="1"/>
  <c r="H190" i="40"/>
  <c r="C1" i="27"/>
  <c r="H56" i="24"/>
  <c r="B16" i="24"/>
  <c r="H68" i="23"/>
  <c r="K219" i="44"/>
  <c r="H219" i="44" s="1"/>
  <c r="K218" i="44"/>
  <c r="H17" i="31"/>
  <c r="G17" i="31"/>
  <c r="F17" i="31"/>
  <c r="E17" i="31"/>
  <c r="D17" i="31"/>
  <c r="F58" i="6"/>
  <c r="F30" i="26"/>
  <c r="F7" i="26"/>
  <c r="F3" i="26"/>
  <c r="B54" i="1"/>
  <c r="M229" i="44" l="1"/>
  <c r="M228" i="44"/>
  <c r="H224" i="44"/>
  <c r="K224" i="44" s="1"/>
  <c r="H222" i="44"/>
  <c r="K222" i="44" s="1"/>
  <c r="H223" i="44" l="1"/>
  <c r="K223" i="44" l="1"/>
  <c r="H233" i="44" s="1"/>
  <c r="H234"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Shepherd</author>
  </authors>
  <commentList>
    <comment ref="R19" authorId="0" shapeId="0" xr:uid="{95BD2C29-09AB-42E0-8B4D-D2ACD2F8D2E4}">
      <text>
        <r>
          <rPr>
            <sz val="11"/>
            <color theme="1"/>
            <rFont val="Calibri"/>
            <family val="2"/>
            <scheme val="minor"/>
          </rPr>
          <t>Bryan Shepherd:
This cell must be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1"/>
        </ext>
      </extLst>
    </bk>
    <bk>
      <extLst>
        <ext uri="{3e2802c4-a4d2-4d8b-9148-e3be6c30e623}">
          <xlrd:rvb i="3"/>
        </ext>
      </extLst>
    </bk>
  </futureMetadata>
  <cellMetadata count="1">
    <bk>
      <rc t="1" v="0"/>
    </bk>
  </cellMetadata>
  <valueMetadata count="2">
    <bk>
      <rc t="2" v="0"/>
    </bk>
    <bk>
      <rc t="2" v="1"/>
    </bk>
  </valueMetadata>
</metadata>
</file>

<file path=xl/sharedStrings.xml><?xml version="1.0" encoding="utf-8"?>
<sst xmlns="http://schemas.openxmlformats.org/spreadsheetml/2006/main" count="3241" uniqueCount="1408">
  <si>
    <t>PROJECT DISCOVERY INPUT</t>
  </si>
  <si>
    <t>Project Template Revision Log</t>
  </si>
  <si>
    <t>Client Name:</t>
  </si>
  <si>
    <t>Revision</t>
  </si>
  <si>
    <t>Description of changes made</t>
  </si>
  <si>
    <t>Made by:</t>
  </si>
  <si>
    <t>Date:</t>
  </si>
  <si>
    <t>Organization Name:</t>
  </si>
  <si>
    <t>Added logo parts and updated pricing and quoting sheet</t>
  </si>
  <si>
    <t>Kmaurer</t>
  </si>
  <si>
    <t>Organization Address:</t>
  </si>
  <si>
    <t xml:space="preserve">Added Alternating hole parts </t>
  </si>
  <si>
    <t>Organization City &amp; State:</t>
  </si>
  <si>
    <t>Added Margin dollar amount and fixed a couple quote tab issues</t>
  </si>
  <si>
    <t>Organization Zip Code:</t>
  </si>
  <si>
    <t>Updated quote tab headers and added low ceiling parts</t>
  </si>
  <si>
    <t>Ship to Address:</t>
  </si>
  <si>
    <t>Added 3 quote options and organized the calcs tabs</t>
  </si>
  <si>
    <t>Ship to City &amp; State:</t>
  </si>
  <si>
    <t>Corrected 1/2" washer price from $11.00 to $0.28</t>
  </si>
  <si>
    <t>Ship to Zip Code:</t>
  </si>
  <si>
    <t xml:space="preserve">Quoting tab; Moved Trolley steel parts into trolley portion </t>
  </si>
  <si>
    <t>Country:</t>
  </si>
  <si>
    <t>Added weight calcs for each component</t>
  </si>
  <si>
    <t>Phone:</t>
  </si>
  <si>
    <t>Corrected 3/8" monkey bar bolt quantities</t>
  </si>
  <si>
    <t>Email Address:</t>
  </si>
  <si>
    <t>Updated TRT 2001 from $96 to $106, quote creation time stamp &amp; Goldberg Order Details</t>
  </si>
  <si>
    <t>Project ID:</t>
  </si>
  <si>
    <t>Added Mail_Workbook macro and email worksheet button to order details tab</t>
  </si>
  <si>
    <t>CUSTOMS &amp; DUTES</t>
  </si>
  <si>
    <t>Added $100 crating fee to shipping calculations</t>
  </si>
  <si>
    <t>BShepherd</t>
  </si>
  <si>
    <t>Customs Fees</t>
  </si>
  <si>
    <t>Added discount logic to quote page</t>
  </si>
  <si>
    <t>Border Buddy Fees</t>
  </si>
  <si>
    <t>Added calculations to quote for accessory brackets, eyebolts, swivel bolt</t>
  </si>
  <si>
    <t>TRAVEL</t>
  </si>
  <si>
    <t>No</t>
  </si>
  <si>
    <t>Updated formula on Calcs tab - If quantity is negative, the total will return a zero $ result</t>
  </si>
  <si>
    <t>Estimated Travel Expenses</t>
  </si>
  <si>
    <t>Added invoice tab &amp; added payment calculation data for invoice tab</t>
  </si>
  <si>
    <t>Estimated Freight Cost-Goldberg</t>
  </si>
  <si>
    <t>TBD</t>
  </si>
  <si>
    <t>Updated Goldberg pricing per part based on order details sent and updated 1/2 nuts qty per</t>
  </si>
  <si>
    <t>KMaurer</t>
  </si>
  <si>
    <t>Estimated Freight - 3rd Party Orders</t>
  </si>
  <si>
    <t>Added trolley weights to total shipment weight on Goldberg Order Details tab</t>
  </si>
  <si>
    <t>RESILITE INTEREST</t>
  </si>
  <si>
    <t>Yes</t>
  </si>
  <si>
    <t>Add various calculations to Calcs tab - Will allow us to determine max discount rate while still obtaining a 100% mark up</t>
  </si>
  <si>
    <t>Estimated Resilite Product Cost</t>
  </si>
  <si>
    <t>Add several accessory items to the calcs tab - Product numbers are associated Amazon ASIN #</t>
  </si>
  <si>
    <t>ENTER RESILITE RATE FROM WEBSITE</t>
  </si>
  <si>
    <t>Estimated Freight Cost</t>
  </si>
  <si>
    <t>Corrected 6820H-024 hardware calculation</t>
  </si>
  <si>
    <t>Estimated State &amp; Local Tax</t>
  </si>
  <si>
    <t>Corrected 6820H-023 description to 5/16" bolt</t>
  </si>
  <si>
    <t>Column Mats</t>
  </si>
  <si>
    <t>Added Calculations for single and double ladder leg sleeves, changed Zip Line kit, TRT-2001 price</t>
  </si>
  <si>
    <t>Floor Mats</t>
  </si>
  <si>
    <t>Corrected calculation for 1/2"-13 X 4.5" Bolt</t>
  </si>
  <si>
    <t>Proposal Description Prefix Add-On</t>
  </si>
  <si>
    <t>Corrected calculation for 3/8"-16 x 2.25" 6820H-013</t>
  </si>
  <si>
    <t>Product Line:</t>
  </si>
  <si>
    <t>Summit Adventure Series</t>
  </si>
  <si>
    <t>Fixed all the SaveAsPDF macros</t>
  </si>
  <si>
    <t>Gym Type:</t>
  </si>
  <si>
    <t>Clinic</t>
  </si>
  <si>
    <t>Added 6820H-031 &amp; 6820H-032 for the V-Ring and hardware. Need to update costs.</t>
  </si>
  <si>
    <t>Shape:</t>
  </si>
  <si>
    <t>Rectangle</t>
  </si>
  <si>
    <t>Fixed 6820H-013 3/8"x2.25" bolt quantity calcs</t>
  </si>
  <si>
    <t>Gym Package:</t>
  </si>
  <si>
    <t>Lien</t>
  </si>
  <si>
    <t>Updated entire workbook to switch to &lt;80" member sizes affecting 10' HRZ, Verticals &amp; Corner Posts</t>
  </si>
  <si>
    <t>Tax Exempt</t>
  </si>
  <si>
    <t>Added Summit Slide and Summit Climb Color selection and udpated Goldberg Order Details</t>
  </si>
  <si>
    <t>Combined Tax Rate</t>
  </si>
  <si>
    <t>Added the additional Resilite mat options to the proposal</t>
  </si>
  <si>
    <t>Size LENGTH inches (LONG):</t>
  </si>
  <si>
    <t>Transitioned all A-2016 mid saddle brackets to A-2225</t>
  </si>
  <si>
    <t>Size WIDTH inches (SHORT):</t>
  </si>
  <si>
    <t>Updated P-2209 &amp; P2219 to the &lt;80 A-2409 &amp; A-2419</t>
  </si>
  <si>
    <t>Size HEIGHT inches:</t>
  </si>
  <si>
    <t>Updated our playground handle cost from $11.99 to $30 that Goldberg is charging us.</t>
  </si>
  <si>
    <t>Number of Accessory Brackets:</t>
  </si>
  <si>
    <t>Updated the Handles from quantity per set of 2 to quantity per handle</t>
  </si>
  <si>
    <t>Number of 3/8" Swivel Eyebolts for accessory saddle brackets</t>
  </si>
  <si>
    <t>NOTE: $74.95/each</t>
  </si>
  <si>
    <t xml:space="preserve">Moved Goldberg Order Details tab next to Calcs tab for convenience </t>
  </si>
  <si>
    <t>Number of 3/8" non-swivel eyebolts for accessory saddle brackets</t>
  </si>
  <si>
    <t>NOTE: $5.07/each</t>
  </si>
  <si>
    <t>Updated Goldberg Order Details tab to mark zipline wire rope and zipline trolley prices as $0</t>
  </si>
  <si>
    <t>Base Plate Shields</t>
  </si>
  <si>
    <t>Updated 1/4" handle bolt calcs</t>
  </si>
  <si>
    <t>Number of 1/2" Forged Eyebolts</t>
  </si>
  <si>
    <t>NOTE: Typically send 12</t>
  </si>
  <si>
    <t>Updated all Adventure series parts from G2 to G3 &lt;80"</t>
  </si>
  <si>
    <t>Number of V-Rings</t>
  </si>
  <si>
    <t>Updated wedge anchor quantity per from box of 25 to price per anchor</t>
  </si>
  <si>
    <t>Powder Coat Brand</t>
  </si>
  <si>
    <t>Cardinal</t>
  </si>
  <si>
    <t>Prismatic is $250(our cost) custom color upcharge</t>
  </si>
  <si>
    <t>Updated Threaded Rod Hanger price from $81 to $96.05 &amp; updated Trolley PO shipping method</t>
  </si>
  <si>
    <t>Prismatic-Other (Custom Color Cost)</t>
  </si>
  <si>
    <t>Updated all Hardware Pricing per emailed list from John</t>
  </si>
  <si>
    <t>Updated Resilite Column Wraps to the new SKU and pricing</t>
  </si>
  <si>
    <t>Color Spec: A(Verticals/Base Shields)</t>
  </si>
  <si>
    <t>CHANGEME</t>
  </si>
  <si>
    <t>Include Color spec numbers</t>
  </si>
  <si>
    <t>Fixed Trolley quantities and costs on Goldberg Order Details Tab</t>
  </si>
  <si>
    <t>Color Spec: B(Horizontals/corner posts)</t>
  </si>
  <si>
    <t>Updated A-2210 slide platform to A-2216 latest tube rail slide platform</t>
  </si>
  <si>
    <t>Color Spec: C(Monkey Bars/ladder verts/saddle brkts)</t>
  </si>
  <si>
    <t>Added product item "SP0810CLM" within Calcs tab &amp; Adventure Proposal tab</t>
  </si>
  <si>
    <t>Color Spec: Summit Slide Platform</t>
  </si>
  <si>
    <t>Added product item "T11412" within Calcs tab &amp; Adventure Proposal tab</t>
  </si>
  <si>
    <t>Color Spec: Summit Climb</t>
  </si>
  <si>
    <t>Added product item "T11412-Freight" within Calcs tab &amp; Adventure Proposal Tab</t>
  </si>
  <si>
    <t>Added freight cost line item for product item "T11412-Freight" within Discovery Tab - Freight costs for the adjustable climbing wall that we purchase from eSpecial Needs will appear on the Adventure Proposal tab</t>
  </si>
  <si>
    <t>Quote Creation Date:</t>
  </si>
  <si>
    <t>Added calculations for Canadian customs and duties - If Canada is selected on the discovery tab, it will automatically add "Canadian Customs &amp; Duties Fees" to Adventure Proposal template. The customs and duties fees should be entered on column A, under "customs fees" and "border buddy fees". The sum of these two numbers will then be added to the total cost on the adventure proposal tab within the proposal.</t>
  </si>
  <si>
    <t>Project Number:</t>
  </si>
  <si>
    <t>Additional product added to calc tab: 2 Hole Heavy Duty Aluminum Swing Hangers</t>
  </si>
  <si>
    <t>Customer #:</t>
  </si>
  <si>
    <t>Cost for the Wheelchair Swing Platform - Adult was updated - Cost increased</t>
  </si>
  <si>
    <t>: RSS2422 and RSS2433</t>
  </si>
  <si>
    <t>Updated cost of Trolley Threaded Rod Hanger TRH2005 from $96.05 to $113</t>
  </si>
  <si>
    <t>Added pricing for leather belts within Calc tab under UEU</t>
  </si>
  <si>
    <t>Resilite floor padding costs have been modified for all sizes of mats</t>
  </si>
  <si>
    <t>Product: UEU TheraBungee was added to the product offering under Calcs&gt;Summit Soar</t>
  </si>
  <si>
    <t>Updated single swivel eye bolt 6820H-LD to 6820H-LDD double swivel eye bolt and price from $71 to $78.38</t>
  </si>
  <si>
    <t>Modified some of the formulas inside of the calc tab under Summit Flex - Removed a few unused bungee cords that we previously sold</t>
  </si>
  <si>
    <t xml:space="preserve">UEU - Tracking Rail System was added to calc tab along with the necessary line items for it to be added. </t>
  </si>
  <si>
    <t>Added UEU-TRS Flex Overhead Trolley Rail costs and weight</t>
  </si>
  <si>
    <t>Updated Flex mat to single SKU (SSFLEX69722) for the 2-piece mat</t>
  </si>
  <si>
    <t>Updated List tab to the G3 parts along with correcting a few minor pricing discrepancies and adding VLOOKUP between steel and trolley parts to List tab</t>
  </si>
  <si>
    <t>Added A-2349 Steamroller Converstion Kit to Lists and Calcs tabs</t>
  </si>
  <si>
    <t>Added SP0610CLM to Calcs, and Adventure Series Proposal tabs</t>
  </si>
  <si>
    <t>Updated single and double Ladder leg sleeves to inner sleeves and added 6820-LAH button head 3/8" bolts for all ladder rung connections.</t>
  </si>
  <si>
    <t>Modifications made to Calc tab - Added Summit Flex vertical mats and created several bundles for the floor and vertical mats</t>
  </si>
  <si>
    <t>Created various formulas to automatically calculate the number of mats needed for a particular proposal</t>
  </si>
  <si>
    <t>Added 6' &amp; 7' HSS Members for standard horiztonal beam and monkey bar beam - Updated pricing in list tab</t>
  </si>
  <si>
    <t>Added P-2526 Suspension Spreader Bar to Lists tab and updated Calcs tab pricing</t>
  </si>
  <si>
    <t>Added SSG-SA-HOLDS &amp; SSG-SA-HOLD-SCREW to the calc tab</t>
  </si>
  <si>
    <t>Added P-2500, P-2501 &amp; P2502 climb shields to Calcs and Goldberg Tabs</t>
  </si>
  <si>
    <t>Added Save As Workbook Macro Button to Adventure Series Proposal Tab and Fixed PDF button</t>
  </si>
  <si>
    <t>Adde updated ladder design and zipline collars and re-added save as workbook button</t>
  </si>
  <si>
    <t>Updated A-2349 weight to 3.5lbs &amp; upated LAH and LAJ bolt pricing</t>
  </si>
  <si>
    <t>Added Green and Blue slide lines to the Goldber Order Details</t>
  </si>
  <si>
    <t>Updated Frame mounted climbing wall to $825</t>
  </si>
  <si>
    <t>Switched concrete anchors from wedge anchors to Simpson Screw anchors</t>
  </si>
  <si>
    <t>Corrected 10' zip line wire to $115 from the $150 that it was previously</t>
  </si>
  <si>
    <t>Updated Pricing on Lists tab for trolley rails</t>
  </si>
  <si>
    <t>Updated Pricing on Scew Anchor Hardware "AK" to $2.75</t>
  </si>
  <si>
    <t>Updated some quantity calculations for 1/2" nuts and washers</t>
  </si>
  <si>
    <t>Updated pricing for the 6820H-LDD swing &amp; swivel to $81.06 our price and left selling price at $158.73</t>
  </si>
  <si>
    <t>Updtaed 1/2" eye bolt quantity calcs to add 2 eye bolts based on zipline addition.</t>
  </si>
  <si>
    <t>Added SSG-SA-SWIVEL-EYE to Calcs and lists tab</t>
  </si>
  <si>
    <t>Updated pricing for the trolley rail parts on the list tab</t>
  </si>
  <si>
    <t>Fixed Goldberg Order Details tabs for 6820H-LDD &amp; 6820H-LAI</t>
  </si>
  <si>
    <t>Updated Bent Pin Pricing LAI to $9.60</t>
  </si>
  <si>
    <t>Added 6820H-LAN 60" Multi-Pocket Black Slings to Calcs tab, Goldberg Tab and Lists Tab</t>
  </si>
  <si>
    <t>Added P-2207 to Goldberg Order Details Tab</t>
  </si>
  <si>
    <t>Updated 6820H-LB needed quantity to add F218*2</t>
  </si>
  <si>
    <t>Interlocking Floor Padding Calculator</t>
  </si>
  <si>
    <t>Horizontal Beams</t>
  </si>
  <si>
    <t>L Shape</t>
  </si>
  <si>
    <t>INTERIOR
BEAM</t>
  </si>
  <si>
    <t>MONKEY BAR</t>
  </si>
  <si>
    <t>LADDER</t>
  </si>
  <si>
    <t>TOTAL</t>
  </si>
  <si>
    <t>LENGTH (Inches)</t>
  </si>
  <si>
    <t>PART #</t>
  </si>
  <si>
    <t>DESCRIPTION</t>
  </si>
  <si>
    <t>WIDTH (Inches)</t>
  </si>
  <si>
    <t>Design Layout</t>
  </si>
  <si>
    <t>A-2245</t>
  </si>
  <si>
    <t>AREA SQ FT</t>
  </si>
  <si>
    <t>Monkey Bars</t>
  </si>
  <si>
    <t>A-2246</t>
  </si>
  <si>
    <t># of Tiles</t>
  </si>
  <si>
    <t># - Monkey Bar Sets</t>
  </si>
  <si>
    <t>A-2241</t>
  </si>
  <si>
    <t>10% Overage</t>
  </si>
  <si>
    <t># - Legs</t>
  </si>
  <si>
    <t>A-2242</t>
  </si>
  <si>
    <t>15% Overage</t>
  </si>
  <si>
    <t># - Ladders</t>
  </si>
  <si>
    <t>A-2243</t>
  </si>
  <si>
    <t>Trolley System</t>
  </si>
  <si>
    <t>A-2244</t>
  </si>
  <si>
    <t>Size LENGTH Ft (LONG)</t>
  </si>
  <si>
    <t>A-2225</t>
  </si>
  <si>
    <t>Size WIDTH Ft (SHORT)</t>
  </si>
  <si>
    <t>P-2531</t>
  </si>
  <si>
    <t>Size HEIGHT Ft</t>
  </si>
  <si>
    <t>A-2253</t>
  </si>
  <si>
    <t>Interior Beams</t>
  </si>
  <si>
    <t>A-2248</t>
  </si>
  <si>
    <t>P-2545</t>
  </si>
  <si>
    <t>5' Full Bay HSS Member Alt w/Logo</t>
  </si>
  <si>
    <t>GermBlock Ball Pit Calculator</t>
  </si>
  <si>
    <t>Design Fee</t>
  </si>
  <si>
    <t>P-2206</t>
  </si>
  <si>
    <t>6' Full Bay HSS Member Alt w/Logo</t>
  </si>
  <si>
    <t>P-2207</t>
  </si>
  <si>
    <t>7' Full Bay HSS Member Alt w/Logo</t>
  </si>
  <si>
    <t>Accessories</t>
  </si>
  <si>
    <t>A-2408</t>
  </si>
  <si>
    <t>HEIGHT (Inches)</t>
  </si>
  <si>
    <t>Zip Line</t>
  </si>
  <si>
    <t>A-2409</t>
  </si>
  <si>
    <t>CUBIC Ft</t>
  </si>
  <si>
    <t>Frame Mount - Ball Rack</t>
  </si>
  <si>
    <t>A-2410</t>
  </si>
  <si>
    <t>Slide</t>
  </si>
  <si>
    <t>P-2330</t>
  </si>
  <si>
    <t>Balls Per Case</t>
  </si>
  <si>
    <t>P-2216</t>
  </si>
  <si>
    <t>6' Full Bay Monkey Bar HSS Member w/Logo</t>
  </si>
  <si>
    <t>Slide - Gray Upcharge</t>
  </si>
  <si>
    <t>P-2217</t>
  </si>
  <si>
    <t>7' Full Bay Monkey Bar HSS Member w/Logo</t>
  </si>
  <si>
    <t>Steamroller Ramp (3rd Party)</t>
  </si>
  <si>
    <t>Ball Pit Cases Required</t>
  </si>
  <si>
    <t>Slide Conversion Kit</t>
  </si>
  <si>
    <t>Climbing Wall</t>
  </si>
  <si>
    <t>A-2418</t>
  </si>
  <si>
    <t>Summit Safety Floor Mats</t>
  </si>
  <si>
    <t>Climbing Wall - Frame Mounted</t>
  </si>
  <si>
    <t>A-2419</t>
  </si>
  <si>
    <t>Each Roll is 6' Wide x 42' Long</t>
  </si>
  <si>
    <t>Climbing Wall - Safety Shield</t>
  </si>
  <si>
    <t>A-2420</t>
  </si>
  <si>
    <t>Cost Per SQ FT - Thickness</t>
  </si>
  <si>
    <t>Climbing Wall - Wall Mounted</t>
  </si>
  <si>
    <t>P-2024</t>
  </si>
  <si>
    <t>1-3/8"</t>
  </si>
  <si>
    <t>Climbing Wall - Mat</t>
  </si>
  <si>
    <t>P-2028</t>
  </si>
  <si>
    <t>2"</t>
  </si>
  <si>
    <t>Mats &amp; Padding</t>
  </si>
  <si>
    <t>P-1032</t>
  </si>
  <si>
    <t>Adventure Mat System - Floor</t>
  </si>
  <si>
    <t>Adventure Mat System - Column</t>
  </si>
  <si>
    <t>TROLLEY PARTS</t>
  </si>
  <si>
    <t>UNIT COUNT</t>
  </si>
  <si>
    <t>Adventure Mat System - Ladder Leg</t>
  </si>
  <si>
    <t>P-2018</t>
  </si>
  <si>
    <t>Trolley Bar</t>
  </si>
  <si>
    <t>Adventure Mat System - CUSTOM</t>
  </si>
  <si>
    <t>P-2025</t>
  </si>
  <si>
    <t>Trolley Bar Plate</t>
  </si>
  <si>
    <t>Ladder</t>
  </si>
  <si>
    <t>TR2000-A10</t>
  </si>
  <si>
    <t>10' Aluminum Enclosed Rail 550Lbs. Max Weight</t>
  </si>
  <si>
    <t>Ladder - Safety Shield</t>
  </si>
  <si>
    <t>TR2000-A09</t>
  </si>
  <si>
    <t>9' Aluminum Enclosed Rail 550Lbs. Max Weight</t>
  </si>
  <si>
    <t>MISC</t>
  </si>
  <si>
    <t>TR2000-A08</t>
  </si>
  <si>
    <t>8' Aluminum Enclosed Rail 550Lbs. Max Weight</t>
  </si>
  <si>
    <t>Eldo Summit Climbing Wall</t>
  </si>
  <si>
    <t>TR2000-A07</t>
  </si>
  <si>
    <t>7' Aluminum Enclosed Rail 550Lbs. Max Weight</t>
  </si>
  <si>
    <t>ROLLS REQUIRED</t>
  </si>
  <si>
    <t>Interlocking Tile Mats</t>
  </si>
  <si>
    <t>TRH2005</t>
  </si>
  <si>
    <t>Universal Threaded Rod Hanger</t>
  </si>
  <si>
    <t>Wheelchair Swing</t>
  </si>
  <si>
    <t>TRN2016</t>
  </si>
  <si>
    <t>End Cap For Rail</t>
  </si>
  <si>
    <t>TRT2001</t>
  </si>
  <si>
    <t>Trolley For Rail</t>
  </si>
  <si>
    <t>Accessories Brackets</t>
  </si>
  <si>
    <t># - Accessory Brackets</t>
  </si>
  <si>
    <t># - 360 Swivel / 180 Rotational Eye Bolt</t>
  </si>
  <si>
    <t># - 3/8" Non-Swivel Eye Bolts</t>
  </si>
  <si>
    <t># - 1/2" Forged Eye Bolts</t>
  </si>
  <si>
    <t># Eye Bolt - Swing Hanger w/ Bearing</t>
  </si>
  <si>
    <t>Sold in Packs of 2</t>
  </si>
  <si>
    <t>Number of V-Rings (10-PACK)</t>
  </si>
  <si>
    <t>Auto Locking Carabiner (4 Pack)</t>
  </si>
  <si>
    <t>Multi-Pocket Webbing Sling</t>
  </si>
  <si>
    <t>SHORT BEAMS (END CAPS)</t>
  </si>
  <si>
    <t>LONG BEAMS</t>
  </si>
  <si>
    <t>MATS</t>
  </si>
  <si>
    <t>SQ-R-SSA-1010CLM</t>
  </si>
  <si>
    <t>R-R-SSA-2010CLM</t>
  </si>
  <si>
    <t>R-R-SSA-3010CLM</t>
  </si>
  <si>
    <t>L-R-SSA-2020CLM</t>
  </si>
  <si>
    <t>SUBTOTAL - 10' x 10' Mat System</t>
  </si>
  <si>
    <t>SQ-R-SSA-99CLM</t>
  </si>
  <si>
    <t>R-R-SSA-97CLM</t>
  </si>
  <si>
    <t>R-R-SSA-189CLM</t>
  </si>
  <si>
    <t>SUBTOTAL - 9' x 9' Mat System</t>
  </si>
  <si>
    <t>SQ-R-SSA-88CLM</t>
  </si>
  <si>
    <t>R-R-SSA-168CLM</t>
  </si>
  <si>
    <t>SUBTOTAL - 8' x 8' Mat System</t>
  </si>
  <si>
    <t>R-R-SSA-108CLM</t>
  </si>
  <si>
    <t>R-R-SSA-208CLM</t>
  </si>
  <si>
    <t>SUBTOTAL - 10' x 8' Mat System</t>
  </si>
  <si>
    <t>R-R-SSA-106CLM</t>
  </si>
  <si>
    <t>R-SSA-1006CLM</t>
  </si>
  <si>
    <t>R-R-SSA-107CLM</t>
  </si>
  <si>
    <t>R-SSA-1007CLM</t>
  </si>
  <si>
    <t>R-SSA-1008CLM</t>
  </si>
  <si>
    <t>R-R-SSA-109CLM</t>
  </si>
  <si>
    <t>R-SSA-1009CLM</t>
  </si>
  <si>
    <t>R-R-SSA-1610CLM</t>
  </si>
  <si>
    <t>R-SSA-1610CLM</t>
  </si>
  <si>
    <t>R-R-SSA-207CLM</t>
  </si>
  <si>
    <t>R-SSA-2007CLM</t>
  </si>
  <si>
    <t>R-SSA-2008CLM</t>
  </si>
  <si>
    <t>R-SSA-2010CLM</t>
  </si>
  <si>
    <t>R-R-SSA-86CLM</t>
  </si>
  <si>
    <t>R-SSA-0806CLM</t>
  </si>
  <si>
    <t>R-SSA-0907CLM</t>
  </si>
  <si>
    <t>R-R-SSA-98CLM</t>
  </si>
  <si>
    <t>R-SSA-0908CLM</t>
  </si>
  <si>
    <t>R-SSA-1010CLM</t>
  </si>
  <si>
    <t>R-SSA-0808CLM</t>
  </si>
  <si>
    <t>R-SSA-0909CLM</t>
  </si>
  <si>
    <t>STEEL PARTS</t>
  </si>
  <si>
    <t>Mark Up</t>
  </si>
  <si>
    <t>Financial Details</t>
  </si>
  <si>
    <t>ADVENTURE SERIES: FRAME COST</t>
  </si>
  <si>
    <t>UPC</t>
  </si>
  <si>
    <t>VLOOKUP TEST</t>
  </si>
  <si>
    <t>ORDER QUANTITY</t>
  </si>
  <si>
    <t>PRICE PER PART</t>
  </si>
  <si>
    <t>Price Per w Tax (6.5%)</t>
  </si>
  <si>
    <t>WEIGHT (LB)</t>
  </si>
  <si>
    <t>TOTAL PER PART</t>
  </si>
  <si>
    <t>Total w Tax (6.5%)</t>
  </si>
  <si>
    <t>MARK UP</t>
  </si>
  <si>
    <t>WEIGHT PER PART (LBS)</t>
  </si>
  <si>
    <t>STRUCTURE</t>
  </si>
  <si>
    <t>TROLLEY</t>
  </si>
  <si>
    <t>ACCESSORIES</t>
  </si>
  <si>
    <t>HARDWARE</t>
  </si>
  <si>
    <t>DISCOUNT PROPOSED</t>
  </si>
  <si>
    <t>MAX DISCOUNT</t>
  </si>
  <si>
    <t>FREIGHT &amp; TAXES</t>
  </si>
  <si>
    <t>Vertical Tall &lt;80 w/Gusset</t>
  </si>
  <si>
    <t>Revenue</t>
  </si>
  <si>
    <t>Vertical Tall &lt;80 w/Gussets, Rungs &amp; Handles</t>
  </si>
  <si>
    <t>Corner Post &lt;80 1-Way Weld Assembly</t>
  </si>
  <si>
    <t>% of Revenue</t>
  </si>
  <si>
    <t>Corner Post &lt;80 2-Way Weld Assembly</t>
  </si>
  <si>
    <t>COGS</t>
  </si>
  <si>
    <t>Corner Post &lt;80 3-Way Weld Assembly</t>
  </si>
  <si>
    <t>% of COGS</t>
  </si>
  <si>
    <t>Corner Post &lt;80 4-Way Weld Assembly</t>
  </si>
  <si>
    <t>Gross Margin</t>
  </si>
  <si>
    <t>A-2022</t>
  </si>
  <si>
    <t>Corner Post Multi-Level 1-Way Weld Assembly</t>
  </si>
  <si>
    <t>Gross Margin %</t>
  </si>
  <si>
    <t>Mid Span 1-Way Saddle Alt Weld Assembly</t>
  </si>
  <si>
    <t>Net Margin %</t>
  </si>
  <si>
    <t>Ladder Leg Footless</t>
  </si>
  <si>
    <t>Delta</t>
  </si>
  <si>
    <t>Single Leg Inner Ladder Sleeve Footless Weld Assembly</t>
  </si>
  <si>
    <t>$ Margin over 50%</t>
  </si>
  <si>
    <t>Double Leg Inner Ladder Sleeve</t>
  </si>
  <si>
    <t>% Margin over 50%</t>
  </si>
  <si>
    <t>5' Full Bay HSS Member Alt w/ Logo</t>
  </si>
  <si>
    <t>6' Full Bay HSS Member Alt w/ Logo</t>
  </si>
  <si>
    <t>7' Full Bay HSS Member Alt w/ Logo</t>
  </si>
  <si>
    <t>Discount Offered</t>
  </si>
  <si>
    <t xml:space="preserve"> Discount Offered % </t>
  </si>
  <si>
    <t>Discount %</t>
  </si>
  <si>
    <t>Discount $</t>
  </si>
  <si>
    <t>8' Half Bay &lt;80 HSS Member w/Splices &amp; HDWE</t>
  </si>
  <si>
    <t>9' Half Bay &lt;80 HSS Member w/Splices &amp; HDWE</t>
  </si>
  <si>
    <t>10' Half Bay &lt;80 HSS Member w/Splices &amp; HDWE</t>
  </si>
  <si>
    <t>Expiration Date</t>
  </si>
  <si>
    <t>Monkey Bar / Ladder Rungs w/ 4 Threaded Holes</t>
  </si>
  <si>
    <t>6' Full Bay Monkey Bar HSS Member w/ Logo</t>
  </si>
  <si>
    <t>7' Full Bay Monkey Bar HSS Member w/ Logo</t>
  </si>
  <si>
    <t>MAX Discount</t>
  </si>
  <si>
    <t>MAX DISCOUNT %</t>
  </si>
  <si>
    <t>8' Half Bay Monkey Bar HSS Member w/ Logo</t>
  </si>
  <si>
    <t>100% of MAX</t>
  </si>
  <si>
    <t>9' Half Bay &lt;80 Monkey Bar HSS w/Splices &amp; HDWE</t>
  </si>
  <si>
    <t>75% of MAX</t>
  </si>
  <si>
    <t>10' Half Bay &lt;80 Monkey Bar HSS w/Splices &amp; HDWE</t>
  </si>
  <si>
    <t>50% of MAX</t>
  </si>
  <si>
    <t>Zip Line HSS Tube</t>
  </si>
  <si>
    <t>25% of MAX</t>
  </si>
  <si>
    <t>A-2530</t>
  </si>
  <si>
    <t>Zip Line Collar</t>
  </si>
  <si>
    <t>P-2124</t>
  </si>
  <si>
    <t>Quick Shift Saddle Bracket™</t>
  </si>
  <si>
    <t>Base Plate Shield</t>
  </si>
  <si>
    <t>P-2500</t>
  </si>
  <si>
    <t>Safety First Climbing Shield (48" x 18")</t>
  </si>
  <si>
    <t>Repeat Customer Discount</t>
  </si>
  <si>
    <t>P-2501</t>
  </si>
  <si>
    <t>Safety First Ladder Climbing Shield (90° Angle)</t>
  </si>
  <si>
    <t>P-2502</t>
  </si>
  <si>
    <t>Safety First Ladder Climbing Shield (50° Angle)</t>
  </si>
  <si>
    <t>4.5' Full Bay HSS Member Alt w/Logo</t>
  </si>
  <si>
    <t>SUBTOTAL</t>
  </si>
  <si>
    <t>10' Aluminum Enclosed Rail 550lbs. Max Weight</t>
  </si>
  <si>
    <t>9' Aluminum Enclosed Rail 550lbs. Max Weight</t>
  </si>
  <si>
    <t>8' Aluminum Enclosed Rail 550lbs. Max Weight</t>
  </si>
  <si>
    <t>7' Aluminum Enclosed Rail 550lbs. Max Weight</t>
  </si>
  <si>
    <t>End Cap for Rail</t>
  </si>
  <si>
    <t>Trolley for Rail</t>
  </si>
  <si>
    <t>SENSORY GYM ACCESSORIES</t>
  </si>
  <si>
    <t>SUPPLIER</t>
  </si>
  <si>
    <t>OUTSOURCED SUPPLIER</t>
  </si>
  <si>
    <t>A-2216</t>
  </si>
  <si>
    <t>Summit Adventure Slide</t>
  </si>
  <si>
    <t>Blue</t>
  </si>
  <si>
    <t>Green</t>
  </si>
  <si>
    <t>B01MUEBGVK</t>
  </si>
  <si>
    <t>Summit Adventure Slide - 2Piece Plastic Scoop Slide</t>
  </si>
  <si>
    <t>Amazon</t>
  </si>
  <si>
    <t>Outsourced</t>
  </si>
  <si>
    <t>B0018L8RJG</t>
  </si>
  <si>
    <t>WS8203</t>
  </si>
  <si>
    <t>Summit Adventure Slide - Gray Slide Upcharge</t>
  </si>
  <si>
    <t>Steamroller Ramp</t>
  </si>
  <si>
    <t>A-2349</t>
  </si>
  <si>
    <t>Adventure Steamroller/Scooter Board - Conversion Kit (Required)</t>
  </si>
  <si>
    <t>B07V3J9S2R</t>
  </si>
  <si>
    <t>10' x 8' - Climbing Cargo Net Black</t>
  </si>
  <si>
    <t>B07TSDMPNQ</t>
  </si>
  <si>
    <t>8' x 6' - Climbing Cargo Net Black</t>
  </si>
  <si>
    <t>SSG-SA-CFM</t>
  </si>
  <si>
    <t>Adventure Climbing Wall - Frame Mounted (Includes Climbing Holds)</t>
  </si>
  <si>
    <t>SSG-SA-CWM</t>
  </si>
  <si>
    <t>Adventure Climbing Wall - Wall Mounted-Metal Studs (Includes Climbing Holds)</t>
  </si>
  <si>
    <t>T11412</t>
  </si>
  <si>
    <t>Adjustable Indoor Climbing Wall</t>
  </si>
  <si>
    <t>SSG-SA-HOLDS</t>
  </si>
  <si>
    <t>Colored Climbing Holds</t>
  </si>
  <si>
    <t>SSG-SA-HOLD-SCREWS</t>
  </si>
  <si>
    <t>Climbing Hold Connection Hardware</t>
  </si>
  <si>
    <t>SSG-SA-CLIMB-WALL-MOUNT-KIT-ONLY</t>
  </si>
  <si>
    <t>Adventure Climbing Wall - Conversion Kit</t>
  </si>
  <si>
    <t>K-5000</t>
  </si>
  <si>
    <t>Adventure Frame Mount Therapy Ball Rack (Length: 6')</t>
  </si>
  <si>
    <t>SSCW67</t>
  </si>
  <si>
    <t>Adventure Complete Column Wrap (67" x 4.875" x 3.5" x 1.375" )</t>
  </si>
  <si>
    <t>Resilite</t>
  </si>
  <si>
    <t>SSUSP67</t>
  </si>
  <si>
    <t>Adventure U Shaped Safety Column Wrap (67" x 3.5" x 4.875" x 3.5" x 1.375" )</t>
  </si>
  <si>
    <t>SSUSP72</t>
  </si>
  <si>
    <t>Adventure U Shaped Column Wrap Ladder Leg (72" x 2" x 3.875" x 2" x 1.375" )</t>
  </si>
  <si>
    <t>SSTBW515</t>
  </si>
  <si>
    <t>Zip Line Cable Safety Cover</t>
  </si>
  <si>
    <t>RESILITE
3.25"</t>
  </si>
  <si>
    <t>Adventure Floor Mat System (8' x 8' x 3.25")</t>
  </si>
  <si>
    <t>Adventure Floor Mat System (8' x 6' x 3.25")</t>
  </si>
  <si>
    <t>Adventure Floor Mat System (9' x 9' x 3.25")</t>
  </si>
  <si>
    <t>Adventure Floor Mat System (9' x 8' x 3.25")</t>
  </si>
  <si>
    <t>Adventure Floor Mat System (9' x 7' x 3.25")</t>
  </si>
  <si>
    <t>Adventure Floor Mat System (10' x 10' x 3.25")</t>
  </si>
  <si>
    <t>Adventure Floor Mat System (10' x 9' x 3.25")</t>
  </si>
  <si>
    <t>Adventure Floor Mat System (10' x 8' x 3.25")</t>
  </si>
  <si>
    <t>Adventure Floor Mat System (10' x 7' x 3.25")</t>
  </si>
  <si>
    <t>Adventure Floor Mat System (10' x 6' x CLM-3.25")</t>
  </si>
  <si>
    <t>Adventure Floor Mat System (20' x 10' x CLM-3.25")</t>
  </si>
  <si>
    <t>Adventure Floor Mat System (20' x 8' x CLM-3.25")</t>
  </si>
  <si>
    <t>Adventure Floor Mat System (20' x 7' x CLM-3.25")</t>
  </si>
  <si>
    <t>Adventure Floor Mat System (16' x 10' x CLM-3.25")</t>
  </si>
  <si>
    <t>RESILITE
2"</t>
  </si>
  <si>
    <t>R-SSA-88CLM-2</t>
  </si>
  <si>
    <t>Adventure Floor Mat System (8' x 8' x 2")</t>
  </si>
  <si>
    <t>R-SSA-86CLM-2</t>
  </si>
  <si>
    <t>Adventure Floor Mat System (8' x 6' x 2")</t>
  </si>
  <si>
    <t>R-SSA-99CLM-2</t>
  </si>
  <si>
    <t>Adventure Floor Mat System (9' x 9' x 2")</t>
  </si>
  <si>
    <t>R-SSA-98CLM-2</t>
  </si>
  <si>
    <t>Adventure Floor Mat System (9' x 8' x 2")</t>
  </si>
  <si>
    <t>R-SSA-97CLM-2</t>
  </si>
  <si>
    <t>Adventure Floor Mat System (9' x 7' x 2")</t>
  </si>
  <si>
    <t>R-SSA-1010CLM-2</t>
  </si>
  <si>
    <t>Adventure Floor Mat System (10' x 10' x 2")</t>
  </si>
  <si>
    <t>R-SSA-1009CLM-2</t>
  </si>
  <si>
    <t>Adventure Floor Mat System (10' x 9' x 2")</t>
  </si>
  <si>
    <t>R-SSA-1008CLM-2</t>
  </si>
  <si>
    <t>Adventure Floor Mat System (10' x 8' x 2")</t>
  </si>
  <si>
    <t>R-SSA-1007CLM-2</t>
  </si>
  <si>
    <t>Adventure Floor Mat System (10' x 7' x 2")</t>
  </si>
  <si>
    <t>R-SSA-1006CLM-2</t>
  </si>
  <si>
    <t>Adventure Floor Mat System (10' x 6' x CLM-2")</t>
  </si>
  <si>
    <t>R-SSA-2010CLM-2</t>
  </si>
  <si>
    <t>Adventure Floor Mat System (20' x 10' x CLM-2")</t>
  </si>
  <si>
    <t>R-SSA-2008CLM-2</t>
  </si>
  <si>
    <t>Adventure Floor Mat System (20' x 8' x CLM-2")</t>
  </si>
  <si>
    <t>R-SSA-2007CLM-2</t>
  </si>
  <si>
    <t>Adventure Floor Mat System (20' x 7' x CLM-2")</t>
  </si>
  <si>
    <t>R-SSA-1610CLM-2</t>
  </si>
  <si>
    <t>Adventure Floor Mat System (16' x 10' x CLM-2")</t>
  </si>
  <si>
    <t>CUST-LOGO</t>
  </si>
  <si>
    <t>Custom Branding Setup (Logo Application on Mats &amp; Padding)</t>
  </si>
  <si>
    <t>EXTENSION</t>
  </si>
  <si>
    <t>CUSTOM</t>
  </si>
  <si>
    <t>Custom Mat Design &amp; Size</t>
  </si>
  <si>
    <t>-</t>
  </si>
  <si>
    <t>DLR-LM48302</t>
  </si>
  <si>
    <t>Adventure Floor Safety Mat (4' x 8' x 8")</t>
  </si>
  <si>
    <t>WCC2101</t>
  </si>
  <si>
    <t>Adventure Wall Padding (24" x 60" x 2") Wainscot Panel w/ Lip</t>
  </si>
  <si>
    <t>WCC2102</t>
  </si>
  <si>
    <t>Adventure Wall Padding (24" x 72" x 2") Wainscot Panel w/ Lip</t>
  </si>
  <si>
    <t>COLL4812</t>
  </si>
  <si>
    <t>Adventure Wall Corner Padding (72" x 6" x 6" x 2")</t>
  </si>
  <si>
    <t>WCOC01</t>
  </si>
  <si>
    <t>Adventure Wall Padding - Rubber Outlet Insert</t>
  </si>
  <si>
    <t>SSRSEM462-L</t>
  </si>
  <si>
    <t>Adventure Flip-Up Safety Mat (4' x 6' x 2")</t>
  </si>
  <si>
    <t>SRFM200X</t>
  </si>
  <si>
    <t>Adventure Rear Climbing Wall Safety Mat (48" x 83" x 2' Single-Fold w/ 4 Grommets)</t>
  </si>
  <si>
    <t>CP4x8BL-4IN</t>
  </si>
  <si>
    <r>
      <t xml:space="preserve">Medium Crash Pads 4" Thick </t>
    </r>
    <r>
      <rPr>
        <b/>
        <i/>
        <sz val="11"/>
        <color rgb="FF000000"/>
        <rFont val="Calibri"/>
        <family val="2"/>
      </rPr>
      <t>(4' Wide x 8' Long - Unfolded)</t>
    </r>
  </si>
  <si>
    <t>WeSellMats.com</t>
  </si>
  <si>
    <t>CP4x8BL-8IN</t>
  </si>
  <si>
    <r>
      <t xml:space="preserve">Large Crash Pads 8" Thick </t>
    </r>
    <r>
      <rPr>
        <b/>
        <i/>
        <sz val="11"/>
        <color rgb="FF000000"/>
        <rFont val="Calibri"/>
        <family val="2"/>
      </rPr>
      <t>(4' Wide x 8' Long - Unfolded)</t>
    </r>
  </si>
  <si>
    <t>CP4x8BL-12IN</t>
  </si>
  <si>
    <r>
      <t xml:space="preserve">Large Crash Pads 12" Thick </t>
    </r>
    <r>
      <rPr>
        <b/>
        <i/>
        <sz val="11"/>
        <color rgb="FF000000"/>
        <rFont val="Calibri"/>
        <family val="2"/>
      </rPr>
      <t>(4' Wide x 8' Long - Unfolded)</t>
    </r>
  </si>
  <si>
    <t>RSS2432</t>
  </si>
  <si>
    <t>Adventure Soft-Steps (2 Steps)</t>
  </si>
  <si>
    <t>RSS2433</t>
  </si>
  <si>
    <t>Adventure Soft-Steps (3 Steps)</t>
  </si>
  <si>
    <t>RPAL6868</t>
  </si>
  <si>
    <t>Palisades Therapy Mat System</t>
  </si>
  <si>
    <t>RMP9628</t>
  </si>
  <si>
    <t>Adventure 96" Extra Large Ball Pit (Does Not Include Plastic Balls)</t>
  </si>
  <si>
    <t>SS72BP</t>
  </si>
  <si>
    <t>Adventure 72" Large Ball Pit (Does Not Include Plastic Balls)</t>
  </si>
  <si>
    <t>SS48BP</t>
  </si>
  <si>
    <t>Adventure 48" Small Ball Pit (Does Not Include Plastic Balls)</t>
  </si>
  <si>
    <t>SS7248BP</t>
  </si>
  <si>
    <t>Adventure 72" x 48" Ball Pit (Does Not Include Plastic Balls)</t>
  </si>
  <si>
    <t>PSB-BPSM</t>
  </si>
  <si>
    <t>Adventure 58" x 58" Ball Pit OD (Does Not Include Plastic Balls)</t>
  </si>
  <si>
    <t>PSB-BPMD</t>
  </si>
  <si>
    <t>Adventure 82" x 82" Ball Pit Outside Dimensions (Does Not Include Plastic Balls)</t>
  </si>
  <si>
    <t>PSB-BPLG</t>
  </si>
  <si>
    <t>Adventure 106" x 106" Ball Pit Outside Dimensions (Does Not Include Plastic Balls)</t>
  </si>
  <si>
    <t>RCLSD5630</t>
  </si>
  <si>
    <t>Adventure Climb &amp; Slide (90 Degree)</t>
  </si>
  <si>
    <t>RLW758</t>
  </si>
  <si>
    <t>72" x 178" x 1.625" Light Weight Mat w/Resi-lock</t>
  </si>
  <si>
    <t>RLW758-1</t>
  </si>
  <si>
    <t>49" x 124" x 1.625" Light Weight Mat w/Resi-lock</t>
  </si>
  <si>
    <t>24" x 72" x 2" Therapy Mat</t>
  </si>
  <si>
    <t>48" x 72" x 2" Therapy Mat</t>
  </si>
  <si>
    <t>Goldberg Brothers</t>
  </si>
  <si>
    <t>Plastic Safety Caps</t>
  </si>
  <si>
    <t>B09T76V33V</t>
  </si>
  <si>
    <t>Cargo Net Attachment Double Slackline</t>
  </si>
  <si>
    <t>XL-PLAT</t>
  </si>
  <si>
    <t>Platform Swing XL (48" x 60") - Holds Up to 500lbs</t>
  </si>
  <si>
    <t>B0BGDQF46S</t>
  </si>
  <si>
    <t>Ninja Warrior Obstacle Course for Kids up to 880 lbs &amp; 13 Obstacles</t>
  </si>
  <si>
    <t xml:space="preserve">B08SMN18WG </t>
  </si>
  <si>
    <t>Safety Net - 6.5' X 9.8'</t>
  </si>
  <si>
    <t>B0193YG8GI</t>
  </si>
  <si>
    <t>18" Trapeze Swing Bar</t>
  </si>
  <si>
    <t>B07MC3144W</t>
  </si>
  <si>
    <t>2PCS Swings Seats Heavy Duty - Supports 250 lbs</t>
  </si>
  <si>
    <t>B07PQHSZPR</t>
  </si>
  <si>
    <t>Climbing Rope with Platforms and Disc Swing Seat Set</t>
  </si>
  <si>
    <t>B0894XNGJP</t>
  </si>
  <si>
    <t>Calming Cocoon Therapy Swing - Supports 300 lbs</t>
  </si>
  <si>
    <t>B07WGZP8XT</t>
  </si>
  <si>
    <t>Ninja Warrior Obstacle Course Accessories Ninja Kids Outdoor Play - 7pc Ninja Rings, 2pc Swing Trapeze Wheels &amp; 2pc Ninja Monkey Bars</t>
  </si>
  <si>
    <t>B0937DRYYF</t>
  </si>
  <si>
    <t>50 Pack Heavy Duty Snap Hooks M8 5/16" Carabiner Clips</t>
  </si>
  <si>
    <t>B085KXHKBS</t>
  </si>
  <si>
    <t>B0CDVDZSB1</t>
  </si>
  <si>
    <t>Auto Locking Carabiner Clips - 28KN (6172lbs) Heavy Duty Carabiner (4 Pack)</t>
  </si>
  <si>
    <t>Heavy Duty Carabiners 5/16" Spring Snap 3' (50 Pack)</t>
  </si>
  <si>
    <t>6820H-LAN</t>
  </si>
  <si>
    <t>60" Multi-Pocket Webbing Slings (Loop strength 1,200 lbf. (5.3 kN)) (Black)</t>
  </si>
  <si>
    <t>B08DTP539F</t>
  </si>
  <si>
    <t>Trobing Swing Swivel</t>
  </si>
  <si>
    <t>B07Z79ZCZX</t>
  </si>
  <si>
    <t>Rotary Soft Nylon Sensory Swing with Swivel - Holds Up to 200lbs</t>
  </si>
  <si>
    <t>B07MB985GW</t>
  </si>
  <si>
    <t>V-Ring 2" Diameter Steel V-Ring Bolt (10 Pack)</t>
  </si>
  <si>
    <t>B01C3I4SL8</t>
  </si>
  <si>
    <t>Skateboard Swing Standing</t>
  </si>
  <si>
    <t>ZIPLINE-WIRE</t>
  </si>
  <si>
    <r>
      <t xml:space="preserve">Zip Line Wiring Kit </t>
    </r>
    <r>
      <rPr>
        <b/>
        <i/>
        <sz val="11"/>
        <color rgb="FF000000"/>
        <rFont val="Calibri"/>
        <family val="2"/>
      </rPr>
      <t>(Pulley &amp; Other Accessories Not Included)</t>
    </r>
  </si>
  <si>
    <t>ZIPLINE-TROLLEY</t>
  </si>
  <si>
    <t>Zip Line Pulley Tandem Speed Dual Trolley with 25kN Carabiner</t>
  </si>
  <si>
    <t>6820H-LP-ZP</t>
  </si>
  <si>
    <t>Zip Line Fixed Eye Bolt</t>
  </si>
  <si>
    <t>B01MRLJ93K</t>
  </si>
  <si>
    <t>Zip Line Cable Sleeve (Designed to Reduce Noise)</t>
  </si>
  <si>
    <t>Cargo Bridge</t>
  </si>
  <si>
    <t>Platform Swing w/ Carpet Cover</t>
  </si>
  <si>
    <t>Advantage Line Bolster Swing</t>
  </si>
  <si>
    <t>Rainbow Acrobat Swing</t>
  </si>
  <si>
    <t>Flexion Disc Swing</t>
  </si>
  <si>
    <t>815DBLESTK</t>
  </si>
  <si>
    <t>Double Layer Therapy Net</t>
  </si>
  <si>
    <t>Large 3-in-1 Barrel Swing</t>
  </si>
  <si>
    <t>382-408_x000D_</t>
  </si>
  <si>
    <t>Wheelchair Swing Platform - Adult</t>
  </si>
  <si>
    <t>Play Sports</t>
  </si>
  <si>
    <t>B0C4YB8D64</t>
  </si>
  <si>
    <t>Wheelchair Swing Swing Hangers with Bearing</t>
  </si>
  <si>
    <t>382-411</t>
  </si>
  <si>
    <t>Jenn Swing ADA Seat</t>
  </si>
  <si>
    <t>T00207</t>
  </si>
  <si>
    <t>Adult - TFH High Backed Seat Swing</t>
  </si>
  <si>
    <t>eSpecial Needs</t>
  </si>
  <si>
    <t>8SQMC</t>
  </si>
  <si>
    <t>Summit Sensory Squeeze Machine</t>
  </si>
  <si>
    <t>Standard Deluxe Bolster Swing</t>
  </si>
  <si>
    <t>Southpaw</t>
  </si>
  <si>
    <t>Variable Axis Swing &amp; Footrest</t>
  </si>
  <si>
    <t>B09XV985JJ</t>
  </si>
  <si>
    <t>56" Dual Trampoline 220LBS Capacity w Adjustable Safety Handrail</t>
  </si>
  <si>
    <t>DL24LG0.1-25M</t>
  </si>
  <si>
    <r>
      <rPr>
        <sz val="11"/>
        <color rgb="FF000000"/>
        <rFont val="Calibri"/>
        <family val="2"/>
      </rPr>
      <t xml:space="preserve">Thick Multipurpose Interlocking Mats </t>
    </r>
    <r>
      <rPr>
        <b/>
        <i/>
        <sz val="11"/>
        <color rgb="FF000000"/>
        <rFont val="Calibri"/>
        <family val="2"/>
      </rPr>
      <t>(24' x 24" x 1")</t>
    </r>
  </si>
  <si>
    <t>Includes 10% Overage</t>
  </si>
  <si>
    <t>EST-SQFT</t>
  </si>
  <si>
    <t>3RD-FREIGHT</t>
  </si>
  <si>
    <t>Passthrough Freight Charge</t>
  </si>
  <si>
    <t>Enter Amount-&gt;</t>
  </si>
  <si>
    <t>DL24LG0.1-25M-OVER</t>
  </si>
  <si>
    <t>FLEXI-ROLL</t>
  </si>
  <si>
    <r>
      <rPr>
        <sz val="11"/>
        <color rgb="FF000000"/>
        <rFont val="Calibri"/>
        <family val="2"/>
      </rPr>
      <t xml:space="preserve">Carpet Floor Padding </t>
    </r>
    <r>
      <rPr>
        <b/>
        <i/>
        <sz val="11"/>
        <color rgb="FF000000"/>
        <rFont val="Calibri"/>
        <family val="2"/>
      </rPr>
      <t>(1-3/8" Thickness)</t>
    </r>
    <r>
      <rPr>
        <sz val="11"/>
        <color rgb="FF000000"/>
        <rFont val="Calibri"/>
        <family val="2"/>
      </rPr>
      <t xml:space="preserve"> - Cut to Fit Space</t>
    </r>
  </si>
  <si>
    <t>FLEXI-CONNECT</t>
  </si>
  <si>
    <r>
      <rPr>
        <sz val="11"/>
        <color rgb="FF000000"/>
        <rFont val="Calibri"/>
        <family val="2"/>
      </rPr>
      <t xml:space="preserve">Carpet Tapeless Floor Padding </t>
    </r>
    <r>
      <rPr>
        <b/>
        <i/>
        <sz val="11"/>
        <color rgb="FF000000"/>
        <rFont val="Calibri"/>
        <family val="2"/>
      </rPr>
      <t xml:space="preserve">(1-3/8" Thickness) </t>
    </r>
    <r>
      <rPr>
        <sz val="11"/>
        <color rgb="FF000000"/>
        <rFont val="Calibri"/>
        <family val="2"/>
      </rPr>
      <t>- Cut to Fit Space</t>
    </r>
  </si>
  <si>
    <t>GRPMAT158</t>
  </si>
  <si>
    <t>Interlocking Floor Tiles (40" x 40" x 1.5")</t>
  </si>
  <si>
    <t>BR158</t>
  </si>
  <si>
    <t>Border Ramp (40" x 40" x 1.5") - (2 Pack)</t>
  </si>
  <si>
    <t>B004NTO8T8</t>
  </si>
  <si>
    <t>Skil-Care Crash Pad</t>
  </si>
  <si>
    <t>STEEL WEIGHT</t>
  </si>
  <si>
    <t>COST</t>
  </si>
  <si>
    <t>REVENUE</t>
  </si>
  <si>
    <t>ADVENTURE SERIES: HARDWARE COSTS</t>
  </si>
  <si>
    <t>Needed Quantity</t>
  </si>
  <si>
    <t>Price Per Part</t>
  </si>
  <si>
    <t>Total Per Part</t>
  </si>
  <si>
    <t>6820H-LAD</t>
  </si>
  <si>
    <t>Playground Handles, Gate Handles 1 handle (B08K2V5G6T)</t>
  </si>
  <si>
    <t>6820H-LAK</t>
  </si>
  <si>
    <t>1/2" x 4" Strong-Tie THD50400H Titen HD Screw Anchor, Zinc</t>
  </si>
  <si>
    <t>6820H-LDD</t>
  </si>
  <si>
    <t>Swing &amp; Swivel Eye Bolt (for Quick Shift Saddle Bracket™)</t>
  </si>
  <si>
    <t>6820H-LAC-G</t>
  </si>
  <si>
    <t>Eye Bolt - Fixed (for Quick Shift Saddle Bracket™)</t>
  </si>
  <si>
    <t>6820H-LP</t>
  </si>
  <si>
    <t>Eye Bolt - Fixed</t>
  </si>
  <si>
    <t>B0C4Y8XSNB</t>
  </si>
  <si>
    <t>Eye Bolt - Swing Hangers w/ Bearing</t>
  </si>
  <si>
    <t>6820H-LY</t>
  </si>
  <si>
    <t>Eye Bolt; 1/4-20 X 2 Length</t>
  </si>
  <si>
    <t>6820H-LAI</t>
  </si>
  <si>
    <t>Quick Shift Bracket Bent Pin w / Lanyard</t>
  </si>
  <si>
    <t>6820H-LC</t>
  </si>
  <si>
    <t>Hex Nylon Insert Lock Nut, Zinc Plated Grade 5 Steel, 1/2-13</t>
  </si>
  <si>
    <t>6820H-LX</t>
  </si>
  <si>
    <t>Flat Shoulder Rod End Bolt 5/16-18 X 1 Shank Thread</t>
  </si>
  <si>
    <t>6820H-LF</t>
  </si>
  <si>
    <t>Hex Nylon Insert Lock Nut, Zinc Plated Grade 5 Steel, 3/8-16</t>
  </si>
  <si>
    <t>6820H-LB</t>
  </si>
  <si>
    <t>Washer 1/2 Flat Zinc Plated Grade 5 Steel</t>
  </si>
  <si>
    <t>6820H-LA</t>
  </si>
  <si>
    <t>Hex Bolt, Zinc Plated Grade 5 Steel, 1/2-13 X 4-1/2"</t>
  </si>
  <si>
    <t>6820H-LAG</t>
  </si>
  <si>
    <t>Hex Bolt, Zinc Plated Grade 5 Steel, 1/2-13 X 4"</t>
  </si>
  <si>
    <t>6820H-LH</t>
  </si>
  <si>
    <t>Tap Bolt, Zinc Plated Grade 5 Steel, 3/8-16 X 2-1/4"</t>
  </si>
  <si>
    <t>6820H-LG</t>
  </si>
  <si>
    <t>Tap Bolt, Zinc Plated Grade 5 Steel, 3/8-16 X 1-3/4"</t>
  </si>
  <si>
    <t>6820H-LI</t>
  </si>
  <si>
    <t>Hex Bolt, Zinc Plated Grade 5 Steel, 1/4-20 X 2-3/4"</t>
  </si>
  <si>
    <t>6820H-LJ</t>
  </si>
  <si>
    <t>Hex Bolt, Zinc Plated Grade 5 Steel, 1/4-20 X 4"</t>
  </si>
  <si>
    <t>6820H-LK</t>
  </si>
  <si>
    <t>Uss Flat Washer, Zinc Plated Grade 5 Steel, 1/4</t>
  </si>
  <si>
    <t>6820H-LL</t>
  </si>
  <si>
    <t>Hex Nylon Insert Lock Nut, Zinc Plated Grade 5 Steel, 1/4-20</t>
  </si>
  <si>
    <t>6820H-LT</t>
  </si>
  <si>
    <t>Coupling Nut, Zinc Plated Steel, 5/16-18 X 1-3/4</t>
  </si>
  <si>
    <t>6820H-LAB</t>
  </si>
  <si>
    <t>Hex Nut, Zinc Plated Grade 5 Steel, 5/16-18</t>
  </si>
  <si>
    <t>6820H-LAA</t>
  </si>
  <si>
    <t>Lock Washer, Zinc Plated Steel, 5/16</t>
  </si>
  <si>
    <t>6820H-LU</t>
  </si>
  <si>
    <t>Uss Flat Washer, Zinc Plated Grade 5 Steel, 5/16</t>
  </si>
  <si>
    <t>6820H-LV</t>
  </si>
  <si>
    <t>Hex Bolt, Zinc Plated Grade 5 Steel, 5/16"-18 X 1"</t>
  </si>
  <si>
    <t>6820H-LW</t>
  </si>
  <si>
    <t>Hex Nylon Insert Lock Nut, Zinc Plated Grade 5 Steel, 5/16-18</t>
  </si>
  <si>
    <t>6820H-LQ</t>
  </si>
  <si>
    <t>Tap Bolt, Zinc Plated Grade 5 Steel, 1/2-13 X 6"</t>
  </si>
  <si>
    <t>6820H-LO</t>
  </si>
  <si>
    <t>Hex Bolt, Zinc Plated Grade 5 Steel, 1/2-13 X 7"</t>
  </si>
  <si>
    <t>6820H-LR</t>
  </si>
  <si>
    <t>Hex Nut, Zinc Plated Grade 5 Steel, 1/2-13</t>
  </si>
  <si>
    <t>6820H-LM</t>
  </si>
  <si>
    <t>Uss Flat Washer, Zinc Plated Grade 5 Steel, 3/8</t>
  </si>
  <si>
    <t>6820H-LN</t>
  </si>
  <si>
    <t>Hex Bolt, Zinc Plated Grade 5 Steel, 1/2-13 X 3-1/2"</t>
  </si>
  <si>
    <t>6820H-LS</t>
  </si>
  <si>
    <t>Rubber Bumpers, 3/4 Od X 1/16 High Black 25 Pack</t>
  </si>
  <si>
    <t>6820H-LAE</t>
  </si>
  <si>
    <t>TAP BOLT, ZINC PLATED GRADE 5 STEEL, 3/8-16 X 4"</t>
  </si>
  <si>
    <t>6820H-LAF</t>
  </si>
  <si>
    <t>V-RING BOLT ON ANCHOR</t>
  </si>
  <si>
    <t>6820H-LAH</t>
  </si>
  <si>
    <t>BUTTON HEAD HEX DRIVE SCREW, 3/8"-16 X 1-1/2"</t>
  </si>
  <si>
    <t>6820H-LAJ</t>
  </si>
  <si>
    <t>HEX BOLT, ZINC PLATED GRADE 5 STEEL, 1/2-13 X 5"</t>
  </si>
  <si>
    <t>SSG-SA-SWIVEL-EYE</t>
  </si>
  <si>
    <t>Swing &amp; Swivel Eye Bolt (Stand Alone)</t>
  </si>
  <si>
    <t>TOTAL HARDWARE COST</t>
  </si>
  <si>
    <t>H-1000</t>
  </si>
  <si>
    <t>Sensory Gym Hardware</t>
  </si>
  <si>
    <t>Total REVENUE</t>
  </si>
  <si>
    <t>Total Estimated COGS</t>
  </si>
  <si>
    <t>SUMMIT SOAR PARTS &amp; HARDWARE COSTS</t>
  </si>
  <si>
    <t>STANDARD</t>
  </si>
  <si>
    <t>TOTAL W TAX (6.5%)</t>
  </si>
  <si>
    <t>FINANCIAL DETAILS</t>
  </si>
  <si>
    <t>K-4000</t>
  </si>
  <si>
    <t>Summit Soar S1 - Mobile Free-Standing Swing Frame w/ Single Cross Beam</t>
  </si>
  <si>
    <t> </t>
  </si>
  <si>
    <t>LOWEST PRICE</t>
  </si>
  <si>
    <t>K-4002</t>
  </si>
  <si>
    <t>Summit Soar - Swing Mount Extensions</t>
  </si>
  <si>
    <t xml:space="preserve"> $                 -  </t>
  </si>
  <si>
    <t>SOAR-S2</t>
  </si>
  <si>
    <t>Summit Soar S2 - Mobile Free-Standing Swing Frame w/ Two Cross Beams</t>
  </si>
  <si>
    <t>SOAR-S3</t>
  </si>
  <si>
    <t>Summit Soar S3 - Mobile Free-Standing Swing Frame w/ Three Cross Beams</t>
  </si>
  <si>
    <t>SOAR-S1-XL</t>
  </si>
  <si>
    <t>Summit Soar S1-XL - Mobile Free-Standing Swing Frame w/ Single Cross Beam (Width: 12')</t>
  </si>
  <si>
    <t>SOAR-S2-XL</t>
  </si>
  <si>
    <t>Summit Soar S2-XL - Mobile Free-Standing Swing Frame w/ Two Cross Beams (Width: 12')</t>
  </si>
  <si>
    <t>SOAR-S3-XL</t>
  </si>
  <si>
    <t>Summit Soar S3-XL - Mobile Free-Standing Swing Frame w/ Three Cross Beams (Width: 12')</t>
  </si>
  <si>
    <t>3/8 Double Swivel Eye Bolt</t>
  </si>
  <si>
    <t>Mark Up Ratio</t>
  </si>
  <si>
    <t>382-408</t>
  </si>
  <si>
    <t>BSP-041-BLKALUHNGW-SO2</t>
  </si>
  <si>
    <t>2 Hole Heavy Duty Aluminum Swing Hangers</t>
  </si>
  <si>
    <t>Bolster Swing</t>
  </si>
  <si>
    <t>CLM325</t>
  </si>
  <si>
    <t>Soar-XL Floor Mat System (138" x 80" x 3.25") - Single Fold</t>
  </si>
  <si>
    <t>SSM80100</t>
  </si>
  <si>
    <t>Soar Floor Mat System (100" x 80" x 3.25") - Single Fold</t>
  </si>
  <si>
    <t>COLU2812</t>
  </si>
  <si>
    <t>Soar Base Beam U Column Wrap (30" x 4.5" x 3.5" x 3.5" x 1.375")</t>
  </si>
  <si>
    <t>Discount Options</t>
  </si>
  <si>
    <t>$</t>
  </si>
  <si>
    <t>Discount Amount</t>
  </si>
  <si>
    <t>SFGPC</t>
  </si>
  <si>
    <t>Gusset Plate Padding</t>
  </si>
  <si>
    <t>Lowest Price</t>
  </si>
  <si>
    <t>COLW2812</t>
  </si>
  <si>
    <t>Soar Column Wrap (60" x 4.5" x 4.5" x 1.375")</t>
  </si>
  <si>
    <t>SUMMIT FLEX PARTS &amp; HARDWARE COSTS</t>
  </si>
  <si>
    <t>PRICE PER W SHIPPING</t>
  </si>
  <si>
    <t>WEIGHT</t>
  </si>
  <si>
    <t>UNIT COST</t>
  </si>
  <si>
    <t>A-2200</t>
  </si>
  <si>
    <t xml:space="preserve">Summit Flex: Universial Excerise Unit (Spider Cage) w/ Hardware </t>
  </si>
  <si>
    <t>UEU-ISTRS</t>
  </si>
  <si>
    <t>Integrated Suspension Tracking Rail System</t>
  </si>
  <si>
    <t>UEU-ISTRS-UNIKIT</t>
  </si>
  <si>
    <t>Integrated Suspension Tracking Rail System (Universal Conversion Kit)</t>
  </si>
  <si>
    <t>P-2513</t>
  </si>
  <si>
    <t>Summit Flex: Trolley Rail Rear Bracket</t>
  </si>
  <si>
    <t>L54</t>
  </si>
  <si>
    <t>Petzl - Lift Spreader for Harness</t>
  </si>
  <si>
    <t>FLEX69482</t>
  </si>
  <si>
    <t>Vertical UEU Rear Frame Padding - 69" x 48" x 2" V1 Folding Mat - 2 Sections</t>
  </si>
  <si>
    <t>FLEX72482</t>
  </si>
  <si>
    <t>Vertical UEU Side Frame Padding - 72" x 48" x 2" V1 Folding Mat - 2 Sections</t>
  </si>
  <si>
    <t>FLEX-VERT-BUNDLE</t>
  </si>
  <si>
    <t>Vertical UEU Frame Padding Bundle (3 - Vertical UEU Frame Pads)</t>
  </si>
  <si>
    <t>FLEX69722</t>
  </si>
  <si>
    <t>Floor Padding - 69" x 72" x 2" V1 Folding Mat - 2 Sections</t>
  </si>
  <si>
    <t>FLEX-PAD-BUNDLE</t>
  </si>
  <si>
    <t>Safety Padding Bundle (Includes Vertical Padding &amp; Floor Pad)</t>
  </si>
  <si>
    <t>FLEX-BELT-BUNDLE</t>
  </si>
  <si>
    <t>Flex Leather Belt Bundle (7 Belts - All Sizes)
  (1) XX Small Leather Belt
  (1) X Small Leather Belt
  (1) Small Leather Belt
  (1) Medium Leather Belt
  (1) Large Leather Belt
  (1) X Large Leather Belt
  (1) XX Large Leather Belt</t>
  </si>
  <si>
    <t>FLEX-BELT-TBD</t>
  </si>
  <si>
    <t>Leather Belt (Size - TBD)</t>
  </si>
  <si>
    <t>FLEX-BELT-XXS</t>
  </si>
  <si>
    <t>Leather Belt (Size - XX Small)</t>
  </si>
  <si>
    <t>FLEX-BELT-XS</t>
  </si>
  <si>
    <t>Leather Belt (Size - X Small)</t>
  </si>
  <si>
    <t>FLEX-BELT-S</t>
  </si>
  <si>
    <t>Leather Belt (Size - Small)</t>
  </si>
  <si>
    <t>FLEX-BELT-M</t>
  </si>
  <si>
    <t>Leather Belt (Size - Medium)</t>
  </si>
  <si>
    <t>FLEX-BELT-L</t>
  </si>
  <si>
    <t>Leather Belt (Size - Large)</t>
  </si>
  <si>
    <t>FLEX-BELT-XL</t>
  </si>
  <si>
    <t>Leather Belt (Size - X Large)</t>
  </si>
  <si>
    <t>FLEX-BELT-XXL</t>
  </si>
  <si>
    <t>Leather Belt (Size - XX Large)</t>
  </si>
  <si>
    <t>Passthrough Freight Charge for Belt(s) / Boot(s)</t>
  </si>
  <si>
    <t>UEU-HARKIT</t>
  </si>
  <si>
    <t>Suspension Harness Kit</t>
  </si>
  <si>
    <t>P-2526</t>
  </si>
  <si>
    <t>Suspension Spreader Bar</t>
  </si>
  <si>
    <t>B0983M934C</t>
  </si>
  <si>
    <t>Nylon Daisy Chain Straps (2 Piece)</t>
  </si>
  <si>
    <t>B01MSIUGTM</t>
  </si>
  <si>
    <t>30KN CE Certified Micro Rotator Swivel</t>
  </si>
  <si>
    <t>B0C9Y4Q8WG</t>
  </si>
  <si>
    <t>Heavy Duty Carabiner (2 Pack)</t>
  </si>
  <si>
    <t>FLEX-RACK</t>
  </si>
  <si>
    <t>Equipment Rack (Frame Mounted)</t>
  </si>
  <si>
    <t>UEU-THERABUNGEE-23</t>
  </si>
  <si>
    <t>TheraBungee - 10 Piece Bungee Set</t>
  </si>
  <si>
    <t>BABY-KIT</t>
  </si>
  <si>
    <t>Baby Harness Kit</t>
  </si>
  <si>
    <t>OUISTITI</t>
  </si>
  <si>
    <t>Petzel - Full Body Youth Harness (Supports Up to 65 lbs)</t>
  </si>
  <si>
    <t>BASIC</t>
  </si>
  <si>
    <t>Basic Equipment Set - 69 Elements</t>
  </si>
  <si>
    <t>Standard Equipment Set - 82 Elements</t>
  </si>
  <si>
    <t>FULL</t>
  </si>
  <si>
    <t>Full Equipment Set - 132 Elements</t>
  </si>
  <si>
    <t>SUMMIT SAFE: PARTS &amp; HARDWARE COSTS</t>
  </si>
  <si>
    <t>COST PER PART</t>
  </si>
  <si>
    <t>2' x 6' x 2" Wood-backed Wainscot Panels w 1" Nailing Lip Top &amp; Bottom</t>
  </si>
  <si>
    <t>2' x 7' x 2" Wood-backed Wainscot Panels w 1" Nailing Lip Top &amp; Bottom</t>
  </si>
  <si>
    <t>WCC2103</t>
  </si>
  <si>
    <t>1' 7/8" x 6' x 2" Wood-backed Wainscot Panels w 1" Nailing Lip Top &amp; Bottom</t>
  </si>
  <si>
    <t>WCC2104</t>
  </si>
  <si>
    <t>2' 3/4" X 6' X 2" Wood-backed Wainscot Panels w 1" Nailing Lip Top &amp; Bottom</t>
  </si>
  <si>
    <t>SUMMIT SCAPE: SENSORY EQUIPMENT (PARTS &amp; HARDWARE COSTS)</t>
  </si>
  <si>
    <t>PRODUCT</t>
  </si>
  <si>
    <t>QUANTITY</t>
  </si>
  <si>
    <t>COST PER W SHIPPING</t>
  </si>
  <si>
    <t>COST PER TOTAL</t>
  </si>
  <si>
    <t>SUMMARIZED TOTAL</t>
  </si>
  <si>
    <t>9WMFO5</t>
  </si>
  <si>
    <t>Fiber Optic Waterfall Wall Mount</t>
  </si>
  <si>
    <t>9WMFO5-1</t>
  </si>
  <si>
    <t>Includes:
1. Fiber Optic Tails (200)
2. Sparkle LED Light Source
3. Clear Acrylic Bracket</t>
  </si>
  <si>
    <t>9WMFO5-2</t>
  </si>
  <si>
    <t>MSE Genie App Controller (iPad or iPhone)</t>
  </si>
  <si>
    <t>Flex-Roll</t>
  </si>
  <si>
    <t>Flex-Connect</t>
  </si>
  <si>
    <t>SP9012</t>
  </si>
  <si>
    <t>SensaSoft™ Support Vibrochair - Dark Blue - Two chairs, One Speaker Seat</t>
  </si>
  <si>
    <t>Fun &amp; Function</t>
  </si>
  <si>
    <t>5805-PB</t>
  </si>
  <si>
    <t>Kid Bean Bag Chair, Pacific Blue</t>
  </si>
  <si>
    <t>GreatMats</t>
  </si>
  <si>
    <t>Sensory Activity Wall</t>
  </si>
  <si>
    <t>INTERIOR</t>
  </si>
  <si>
    <t>Sensory &amp; Room Conception Development, Space Planning &amp; Product Sourcing</t>
  </si>
  <si>
    <t>SUMMIT PRODUCT ORDER FORM</t>
  </si>
  <si>
    <t>Job:</t>
  </si>
  <si>
    <t>Submission Date:</t>
  </si>
  <si>
    <t>Shipment Details:</t>
  </si>
  <si>
    <t>Email:</t>
  </si>
  <si>
    <t>Total Steel Weight:</t>
  </si>
  <si>
    <t>Estimated Shipment Quote:</t>
  </si>
  <si>
    <t>Delivery Type:</t>
  </si>
  <si>
    <t>Lift Gate</t>
  </si>
  <si>
    <t>Powder Coat Brand:</t>
  </si>
  <si>
    <t>LINE #</t>
  </si>
  <si>
    <t xml:space="preserve">DESCRIPTION </t>
  </si>
  <si>
    <t>QTY PER UNIT</t>
  </si>
  <si>
    <t>Powder Color</t>
  </si>
  <si>
    <t>Weight (lbs)</t>
  </si>
  <si>
    <t>PRICE EACH</t>
  </si>
  <si>
    <t>TOTAL PRICE PER UNIT</t>
  </si>
  <si>
    <t>6' Full Bay HSS Member Alt W/Logo</t>
  </si>
  <si>
    <t>p-2207</t>
  </si>
  <si>
    <t>ADVENTURE ZIPLINE COLLAR STIFFENER WELD ASSY</t>
  </si>
  <si>
    <t>CLIMBING WALL SHIELD</t>
  </si>
  <si>
    <t>LADDER TOP SHIELD 90 DEGREE</t>
  </si>
  <si>
    <t>LADDER TOP SHIELD 50 DEGREE</t>
  </si>
  <si>
    <t>SummitAdventure Slide</t>
  </si>
  <si>
    <t>SSG-BLUE-SLIDE</t>
  </si>
  <si>
    <t>Summit Adventure Blue 2-piece Plastic Slide</t>
  </si>
  <si>
    <t>SSG-GREEN-SLIDE</t>
  </si>
  <si>
    <t>Summit Adventure Green 2-piece Plastic Slide</t>
  </si>
  <si>
    <t>SummitAdventure Climbing Wall - Frame Mounted (No Climb Holds)</t>
  </si>
  <si>
    <t>SummitAdventure Climbing Wall - Wall Mounted (No Climb Holds)</t>
  </si>
  <si>
    <t>WELD ASSY; EXTENDED LADDER RUNG FOR STEAMROLLER</t>
  </si>
  <si>
    <t>PLAYGROUND HANDLES, GATE HANDLES 1 HANDLE (B08K2V5G6T)</t>
  </si>
  <si>
    <t>3/8 DOUBLE SWIVEL EYE BOLT (AAC BRKT SWIVEL OPTION)</t>
  </si>
  <si>
    <t>EYE BOLT; 3/8-16 X .75 LENGTH</t>
  </si>
  <si>
    <t>EYE BOLT; 1/2-13 X 4 LENGTH</t>
  </si>
  <si>
    <t>EYE BOLT; 1/4-20 X 2 LENGTH</t>
  </si>
  <si>
    <t>QUICK SHIFT BRACKET BENT PIN W/LANYARD</t>
  </si>
  <si>
    <t>HEX NYLON INSERT LOCK NUT, ZINC PLATED GRADE 5 STEEL, 1/2-13</t>
  </si>
  <si>
    <t>FLAT SHOULDER ROD END BOLT 5/16-18 X 1 SHANK THREAD</t>
  </si>
  <si>
    <t>HEX NYLON INSERT LOCK NUT, ZINC PLATED GRADE 5 STEEL, 3/8-16</t>
  </si>
  <si>
    <t>WASHER 1/2 FLAT Zinc plated grade 5 steel</t>
  </si>
  <si>
    <t>HEX BOLT, ZINC PLATED GRADE 5 STEEL, 1/2-13 X 4-1/2"</t>
  </si>
  <si>
    <t>HEX BOLT, ZINC PLATED GRADE 5 STEEL, 1/2-13 X 4"</t>
  </si>
  <si>
    <t>TAP BOLT, ZINC PLATED GRADE 5 STEEL, 3/8-16 X 2-1/4"</t>
  </si>
  <si>
    <t>TAP BOLT, ZINC PLATED GRADE 5 STEEL, 3/8-16 X 1-3/4"</t>
  </si>
  <si>
    <t>HEX BOLT, ZINC PLATED GRADE 5 STEEL, 1/4-20 X 2-3/4"</t>
  </si>
  <si>
    <t>HEX BOLT, ZINC PLATED GRADE 5 STEEL, 1/4-20 X 4"</t>
  </si>
  <si>
    <t>USS FLAT WASHER, ZINC PLATED GRADE 5 STEEL, 1/4</t>
  </si>
  <si>
    <t>HEX NYLON INSERT LOCK NUT, ZINC PLATED GRADE 5 STEEL, 1/4-20</t>
  </si>
  <si>
    <t>COUPLING NUT, ZINC PLATED STEEL, 5/16-18 X 1-3/4</t>
  </si>
  <si>
    <t>HEX NUT, ZINC PLATED GRADE 5 STEEL, 5/16-18</t>
  </si>
  <si>
    <t>LOCK WASHER, ZINC PLATED STEEL, 5/16</t>
  </si>
  <si>
    <t>USS FLAT WASHER, ZINC PLATED GRADE 5 STEEL, 5/16</t>
  </si>
  <si>
    <t>HEX BOLT, ZINC PLATED GRADE 5 STEEL, 5/16"-18 X 1"</t>
  </si>
  <si>
    <t>HEX NYLON INSERT LOCK NUT, ZINC PLATED GRADE 5 STEEL, 5/16-18</t>
  </si>
  <si>
    <t>TAP BOLT, ZINC PLATED GRADE 5 STEEL, 1/2-13 X 6"</t>
  </si>
  <si>
    <t>HEX BOLT, ZINC PLATED GRADE 5 STEEL, 1/2-13 X 7"</t>
  </si>
  <si>
    <t>HEX NUT, ZINC PLATED GRADE 5 STEEL, 1/2-13</t>
  </si>
  <si>
    <t>USS FLAT WASHER, ZINC PLATED GRADE 5 STEEL, 3/8</t>
  </si>
  <si>
    <t>HEX BOLT, ZINC PLATED GRADE 5 STEEL, 1/2-13 X 3-1/2"</t>
  </si>
  <si>
    <t>RUBBER BUMPERS, 3/4 OD X 1/16 HIGH BLACK 25 PACK</t>
  </si>
  <si>
    <t>6820H-LAL</t>
  </si>
  <si>
    <t>1/2" X 4.25" Strong-Bolt 2 Wedge Anchor, Zinc</t>
  </si>
  <si>
    <t>60" Multi-Pocket Black Sling</t>
  </si>
  <si>
    <t>Zip Line Wire Rope</t>
  </si>
  <si>
    <t>Zip Line Trolley</t>
  </si>
  <si>
    <t>SUMMIT ADVENTURE STAND ALONE SWING &amp; SWIVEL EYEBOLT</t>
  </si>
  <si>
    <t>Sub Total</t>
  </si>
  <si>
    <t>Prismatic Custom Color Upcharge</t>
  </si>
  <si>
    <t>Crating Charge</t>
  </si>
  <si>
    <t>Shipping Estimate</t>
  </si>
  <si>
    <t>Grand Total</t>
  </si>
  <si>
    <t>Summit Sensory Gym</t>
  </si>
  <si>
    <t>PSF File Name</t>
  </si>
  <si>
    <t>6150 S Geneva Court</t>
  </si>
  <si>
    <t>Proposal File Name</t>
  </si>
  <si>
    <t>Englewood, CO 80111</t>
  </si>
  <si>
    <t>Phone: 720-457-5500</t>
  </si>
  <si>
    <t>Fax: 720-242-8085</t>
  </si>
  <si>
    <t>Support@SummitSensory.com</t>
  </si>
  <si>
    <t>CUSTOMER INFO</t>
  </si>
  <si>
    <t>PROPOSAL</t>
  </si>
  <si>
    <t>DATE</t>
  </si>
  <si>
    <t>PROJECT ID #</t>
  </si>
  <si>
    <t>VALID UNTIL</t>
  </si>
  <si>
    <t>Proposal # Override</t>
  </si>
  <si>
    <t>PROPOSAL DETAILS</t>
  </si>
  <si>
    <t>SENSORY ROOM EQUIPMENT &amp; SUPPLIES - ITEMIZED PRODUCT PROPOSAL</t>
  </si>
  <si>
    <t>ITEM #</t>
  </si>
  <si>
    <t>SKU</t>
  </si>
  <si>
    <t>PRODUCT NOTES</t>
  </si>
  <si>
    <t>QTY</t>
  </si>
  <si>
    <t>FREIGHT COST (USD)</t>
  </si>
  <si>
    <t>TOTAL COST (USD)</t>
  </si>
  <si>
    <t>SUBTOTAL:</t>
  </si>
  <si>
    <t>ESTIMATED TAXES:</t>
  </si>
  <si>
    <t>TOTAL PROPOSAL:</t>
  </si>
  <si>
    <r>
      <rPr>
        <b/>
        <sz val="9"/>
        <color rgb="FF000000"/>
        <rFont val="Calibri"/>
        <family val="2"/>
      </rPr>
      <t xml:space="preserve">IMPORTANT PROPOSAL DETAILS: </t>
    </r>
    <r>
      <rPr>
        <sz val="9"/>
        <color rgb="FF000000"/>
        <rFont val="Calibri"/>
        <family val="2"/>
      </rPr>
      <t>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For payments made by credit card, a 3.5% processing fee will be added to the total amount.</t>
    </r>
  </si>
  <si>
    <r>
      <rPr>
        <b/>
        <sz val="9"/>
        <color rgb="FF000000"/>
        <rFont val="Calibri"/>
        <family val="2"/>
      </rPr>
      <t>CRATING &amp; FREIGHT FEES</t>
    </r>
    <r>
      <rPr>
        <sz val="9"/>
        <color rgb="FF000000"/>
        <rFont val="Calibri"/>
        <family val="2"/>
      </rPr>
      <t>: 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</si>
  <si>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Customer Acceptance</t>
  </si>
  <si>
    <t>Signature</t>
  </si>
  <si>
    <t>Printed Name</t>
  </si>
  <si>
    <t>Date</t>
  </si>
  <si>
    <t>If you have any questions, please feel free to contact Bryan Shepherd at 720-457-5500 / Bryan@SummitSensory.com</t>
  </si>
  <si>
    <t>FREIGHT WEIGHT (lbs)</t>
  </si>
  <si>
    <t>Freight Weight Conversion</t>
  </si>
  <si>
    <t>lbs</t>
  </si>
  <si>
    <t>kgs</t>
  </si>
  <si>
    <t>UNIT PRICE (USD)</t>
  </si>
  <si>
    <t>AMOUNT</t>
  </si>
  <si>
    <t>TITL</t>
  </si>
  <si>
    <t>DESIGN</t>
  </si>
  <si>
    <t>SUB</t>
  </si>
  <si>
    <t>HOLD</t>
  </si>
  <si>
    <r>
      <rPr>
        <b/>
        <sz val="11"/>
        <color rgb="FF000000"/>
        <rFont val="Calibri"/>
        <family val="2"/>
      </rPr>
      <t xml:space="preserve">DUAL TROLLEY SYSTEM </t>
    </r>
    <r>
      <rPr>
        <b/>
        <i/>
        <sz val="11"/>
        <color rgb="FF000000"/>
        <rFont val="Calibri"/>
        <family val="2"/>
      </rPr>
      <t>(Optional)</t>
    </r>
  </si>
  <si>
    <t>Unquoted</t>
  </si>
  <si>
    <t>UQ-TR</t>
  </si>
  <si>
    <t>SSG-TR-A10</t>
  </si>
  <si>
    <t>SSG-TR-A09</t>
  </si>
  <si>
    <t>SSG-TR-A08</t>
  </si>
  <si>
    <t>SSG-TR-A07</t>
  </si>
  <si>
    <t>SSG-TRH</t>
  </si>
  <si>
    <t>SSG-TRN</t>
  </si>
  <si>
    <t>SSG-TRT</t>
  </si>
  <si>
    <r>
      <rPr>
        <b/>
        <sz val="11"/>
        <color rgb="FF000000"/>
        <rFont val="Calibri"/>
      </rPr>
      <t xml:space="preserve">THERAPEUTIC ACTIVITY &amp; ADVENTURE COMPONENTS </t>
    </r>
    <r>
      <rPr>
        <b/>
        <i/>
        <sz val="11"/>
        <color rgb="FF000000"/>
        <rFont val="Calibri"/>
      </rPr>
      <t>(Optional)</t>
    </r>
  </si>
  <si>
    <t>UQ-OP</t>
  </si>
  <si>
    <t>Summit Adventure Slide System</t>
  </si>
  <si>
    <t>*</t>
  </si>
  <si>
    <t>*Popular Addition</t>
  </si>
  <si>
    <t>*Passthrough Cost</t>
  </si>
  <si>
    <t>3RD-FREIGHT-SLIDE</t>
  </si>
  <si>
    <t>Climbing Wall &amp; Safety Accessories</t>
  </si>
  <si>
    <t>Ladder - Safety Accessories</t>
  </si>
  <si>
    <t>T11412-FREIGHT</t>
  </si>
  <si>
    <t>Therapeutic Swing &amp; Sensory Equipment Package</t>
  </si>
  <si>
    <t>B07ZQZD6WX</t>
  </si>
  <si>
    <t>SFCS48</t>
  </si>
  <si>
    <t>*Climbing Safety</t>
  </si>
  <si>
    <t>SP150</t>
  </si>
  <si>
    <t>SP5000</t>
  </si>
  <si>
    <t>B07918TH4Q</t>
  </si>
  <si>
    <t>B092QYLLL2</t>
  </si>
  <si>
    <t>*Extremely Strong</t>
  </si>
  <si>
    <t>48RACK</t>
  </si>
  <si>
    <t>Essential Carabiners &amp; Connectors</t>
  </si>
  <si>
    <t>*Money Well Spent</t>
  </si>
  <si>
    <t>Complete Zip Line Kit</t>
  </si>
  <si>
    <r>
      <rPr>
        <b/>
        <sz val="11"/>
        <color rgb="FF000000"/>
        <rFont val="Calibri"/>
        <family val="2"/>
      </rPr>
      <t xml:space="preserve">ADVENTURE MAT SYSTEM </t>
    </r>
    <r>
      <rPr>
        <b/>
        <i/>
        <sz val="11"/>
        <color rgb="FF000000"/>
        <rFont val="Calibri"/>
        <family val="2"/>
      </rPr>
      <t>(Highly Recommended - Optional)</t>
    </r>
  </si>
  <si>
    <t>UQ-MA</t>
  </si>
  <si>
    <t>Adventure Mat System</t>
  </si>
  <si>
    <t>COLU2813</t>
  </si>
  <si>
    <t>R-SSA-88CLM</t>
  </si>
  <si>
    <t>R-SSA-86CLM</t>
  </si>
  <si>
    <t>R-SSA-99CLM</t>
  </si>
  <si>
    <t>R-SSA-98CLM</t>
  </si>
  <si>
    <t>R-SSA-97CLM</t>
  </si>
  <si>
    <t>Climbing Wall Safety Padding</t>
  </si>
  <si>
    <t>*Climbing Wall Mat</t>
  </si>
  <si>
    <t>*Perfect Crash Pad</t>
  </si>
  <si>
    <t>*Standalone Mat</t>
  </si>
  <si>
    <r>
      <rPr>
        <b/>
        <sz val="11"/>
        <color rgb="FF000000"/>
        <rFont val="Calibri"/>
        <family val="2"/>
      </rPr>
      <t xml:space="preserve">SUMMIT FOUNDATION SYSTEM </t>
    </r>
    <r>
      <rPr>
        <b/>
        <i/>
        <sz val="11"/>
        <color rgb="FF000000"/>
        <rFont val="Calibri"/>
        <family val="2"/>
      </rPr>
      <t>(Highly Recommended - Optional) - Enhanced Flooring Protection</t>
    </r>
  </si>
  <si>
    <t>UQ-SF</t>
  </si>
  <si>
    <t>Summit Foundation System</t>
  </si>
  <si>
    <t>*ASTM Impact Standards for Falls Up to 4 Feet</t>
  </si>
  <si>
    <t>Floor Coverage Outlined in Design Rendering</t>
  </si>
  <si>
    <t>SUMMIT FOUNDATION SYSTEM SUBTOTAL</t>
  </si>
  <si>
    <t>Hardware</t>
  </si>
  <si>
    <t>*OPTIONAL ADD-ON: Enhances Versatility</t>
  </si>
  <si>
    <t>*OPTIONAL QUICK SHIFT ADD-ON: Recommended for Enhanced Use</t>
  </si>
  <si>
    <t>*Double Swivel Functionality: 180 Degree Swing &amp; 360 Degree Rotation</t>
  </si>
  <si>
    <t>Two Directional Swing Hangers</t>
  </si>
  <si>
    <t>*Swivel Functionality: 180 Degree Swing</t>
  </si>
  <si>
    <t>PROPOSAL SUBTOTAL:</t>
  </si>
  <si>
    <t>DISCOUNT:</t>
  </si>
  <si>
    <r>
      <rPr>
        <b/>
        <sz val="9"/>
        <color rgb="FF000000"/>
        <rFont val="Calibri"/>
        <family val="2"/>
      </rPr>
      <t xml:space="preserve">IMPORTANT PROPOSAL DETAILS: </t>
    </r>
    <r>
      <rPr>
        <sz val="9"/>
        <color rgb="FF000000"/>
        <rFont val="Calibri"/>
        <family val="2"/>
      </rPr>
      <t xml:space="preserve">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t>
    </r>
    <r>
      <rPr>
        <b/>
        <sz val="9"/>
        <color rgb="FF000000"/>
        <rFont val="Calibri"/>
        <family val="2"/>
      </rPr>
      <t>For payments made by credit card, a 3.5% processing fee will be added to the total amount.</t>
    </r>
  </si>
  <si>
    <t>CRATING &amp; FREIGHT:</t>
  </si>
  <si>
    <t>FREIGHT-MATS:</t>
  </si>
  <si>
    <t>TOTAL INVESTMENT:</t>
  </si>
  <si>
    <t>50% DEPOSIT:</t>
  </si>
  <si>
    <t>PREFERRED LEASE RATES</t>
  </si>
  <si>
    <t>File Name:</t>
  </si>
  <si>
    <t>EQUIPMENT</t>
  </si>
  <si>
    <t>MONTHLY TERM</t>
  </si>
  <si>
    <t>Customer Information</t>
  </si>
  <si>
    <t>Date Presented</t>
  </si>
  <si>
    <t>Questions? Contact</t>
  </si>
  <si>
    <t>Chandler Kinsey</t>
  </si>
  <si>
    <t>800-541-6370</t>
  </si>
  <si>
    <t>ckinsey@ryancapital.com</t>
  </si>
  <si>
    <t>Estimated Loan Amount</t>
  </si>
  <si>
    <t>Term (Months)</t>
  </si>
  <si>
    <t>Monthly Payment</t>
  </si>
  <si>
    <t>First &amp; Last Payment in Advance</t>
  </si>
  <si>
    <t>(Payments are Subject to Credit Approval)</t>
  </si>
  <si>
    <t>Tax Benefits</t>
  </si>
  <si>
    <t>Section 179 Business Deduction:</t>
  </si>
  <si>
    <t xml:space="preserve">Businesses may immediately expense the cost of any Section 179 property and deduct the expense in the year the property is placed into service.  The new maximum deduction is 1 million. </t>
  </si>
  <si>
    <t>Tax Benefit for this Investment:</t>
  </si>
  <si>
    <t>Cost of Equipment</t>
  </si>
  <si>
    <t>Section 179 Deduction</t>
  </si>
  <si>
    <t>50% Bonus Depreciation</t>
  </si>
  <si>
    <t>Regular First Year Depreciation Deduction</t>
  </si>
  <si>
    <t>Total First Year Deduction</t>
  </si>
  <si>
    <t>Cash Savings on Your Equipment Purchase</t>
  </si>
  <si>
    <t>% Savings on Your Equipment Purchase</t>
  </si>
  <si>
    <t>Net Cost of Equipment After Tax Deductions</t>
  </si>
  <si>
    <t>What Does Net Cost of Equipment After Tax Deductions Mean?</t>
  </si>
  <si>
    <t>This represents the actual cost of the equipment once the value of tax deductions/credits is applied. In other words, it’s the net cost to your organization after factoring in tax savings—making it a more accurate reflection of the investment.</t>
  </si>
  <si>
    <t>*This portion of the order will be consolidated with other structural and hardware components and shipped together as part of the primary shipment. Mat and padding systems are manufactured separately and will ship independently.</t>
  </si>
  <si>
    <t>*This portion of the order will be shipped together with other structural and hardware components as part of the primary shipment. Mat and padding systems will be fulfilled and shipped separately.</t>
  </si>
  <si>
    <r>
      <rPr>
        <b/>
        <sz val="11"/>
        <color rgb="FF000000"/>
        <rFont val="Calibri"/>
        <family val="2"/>
      </rPr>
      <t xml:space="preserve">SENSORY GYM ACCESSORIES </t>
    </r>
    <r>
      <rPr>
        <b/>
        <i/>
        <sz val="11"/>
        <color rgb="FF000000"/>
        <rFont val="Calibri"/>
        <family val="2"/>
      </rPr>
      <t>(Optional)</t>
    </r>
  </si>
  <si>
    <t>SP88CLM</t>
  </si>
  <si>
    <t>SP86CLM</t>
  </si>
  <si>
    <t>SP99CLM</t>
  </si>
  <si>
    <t>SP98CLM</t>
  </si>
  <si>
    <t>SP97CLM</t>
  </si>
  <si>
    <t>SP1010CLM</t>
  </si>
  <si>
    <t>SP1009CLM</t>
  </si>
  <si>
    <t>SP1008CLM</t>
  </si>
  <si>
    <t>SP1007CLM</t>
  </si>
  <si>
    <t>SP1006CLM</t>
  </si>
  <si>
    <t>SP2008CLM</t>
  </si>
  <si>
    <t>SP2010CLM</t>
  </si>
  <si>
    <t>SP1610CLM</t>
  </si>
  <si>
    <t>*Mat and padding systems are manufactured separately and will ship independently from the structural and hardware components.</t>
  </si>
  <si>
    <t>PRODUCT COST SUMMARY</t>
  </si>
  <si>
    <t>SHIPMENT 1 - SENSORY THERAPY GYM (FRAME &amp; HARDWARE):</t>
  </si>
  <si>
    <t>SHIPMENT 2 - ALL MAT SYSTEMS:</t>
  </si>
  <si>
    <r>
      <rPr>
        <b/>
        <sz val="11"/>
        <color rgb="FF000000"/>
        <rFont val="Calibri"/>
        <family val="2"/>
        <scheme val="minor"/>
      </rPr>
      <t xml:space="preserve">PRODUCT SUBTOTAL </t>
    </r>
    <r>
      <rPr>
        <b/>
        <i/>
        <sz val="11"/>
        <color rgb="FF000000"/>
        <rFont val="Calibri"/>
        <family val="2"/>
        <scheme val="minor"/>
      </rPr>
      <t>(USD)</t>
    </r>
    <r>
      <rPr>
        <b/>
        <sz val="11"/>
        <color rgb="FF000000"/>
        <rFont val="Calibri"/>
        <family val="2"/>
        <scheme val="minor"/>
      </rPr>
      <t>:</t>
    </r>
  </si>
  <si>
    <r>
      <t xml:space="preserve">CRATING &amp; FREIGHT FEES: </t>
    </r>
    <r>
      <rPr>
        <sz val="9"/>
        <color rgb="FF000000"/>
        <rFont val="Calibri"/>
        <family val="2"/>
        <scheme val="minor"/>
      </rPr>
      <t>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</si>
  <si>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ESTIMATED FREIGHT (BILLED AT TIME OF SHIPMENT)</t>
  </si>
  <si>
    <t>SHIPMENT 1 (CRATING &amp; FRAME):</t>
  </si>
  <si>
    <t>SHIPMENT 2 (MATS):</t>
  </si>
  <si>
    <r>
      <rPr>
        <b/>
        <sz val="11"/>
        <color rgb="FF000000"/>
        <rFont val="Calibri"/>
        <family val="2"/>
        <scheme val="minor"/>
      </rPr>
      <t xml:space="preserve">TOTAL ESTIMATED FREIGHT </t>
    </r>
    <r>
      <rPr>
        <b/>
        <i/>
        <sz val="11"/>
        <color rgb="FF000000"/>
        <rFont val="Calibri"/>
        <family val="2"/>
        <scheme val="minor"/>
      </rPr>
      <t>(USD)</t>
    </r>
    <r>
      <rPr>
        <b/>
        <sz val="11"/>
        <color rgb="FF000000"/>
        <rFont val="Calibri"/>
        <family val="2"/>
        <scheme val="minor"/>
      </rPr>
      <t>:</t>
    </r>
  </si>
  <si>
    <t>TOTAL PROJECT VALUE (FOR TAX PURPOSES)</t>
  </si>
  <si>
    <r>
      <rPr>
        <b/>
        <sz val="11"/>
        <color rgb="FF000000"/>
        <rFont val="Calibri"/>
        <family val="2"/>
      </rPr>
      <t xml:space="preserve">PRODUCT + FREIGHT </t>
    </r>
    <r>
      <rPr>
        <b/>
        <i/>
        <sz val="11"/>
        <color rgb="FF000000"/>
        <rFont val="Calibri"/>
        <family val="2"/>
      </rPr>
      <t>(USD)</t>
    </r>
    <r>
      <rPr>
        <b/>
        <sz val="11"/>
        <color rgb="FF000000"/>
        <rFont val="Calibri"/>
        <family val="2"/>
      </rPr>
      <t>:</t>
    </r>
  </si>
  <si>
    <r>
      <rPr>
        <b/>
        <sz val="11"/>
        <color rgb="FF000000"/>
        <rFont val="Calibri"/>
        <family val="2"/>
      </rPr>
      <t xml:space="preserve">PRODUCT + FREIGHT </t>
    </r>
    <r>
      <rPr>
        <b/>
        <i/>
        <sz val="11"/>
        <color rgb="FF000000"/>
        <rFont val="Calibri"/>
        <family val="2"/>
      </rPr>
      <t>(CAD)</t>
    </r>
    <r>
      <rPr>
        <b/>
        <sz val="11"/>
        <color rgb="FF000000"/>
        <rFont val="Calibri"/>
        <family val="2"/>
      </rPr>
      <t>:</t>
    </r>
  </si>
  <si>
    <r>
      <rPr>
        <b/>
        <sz val="9"/>
        <color rgb="FF000000"/>
        <rFont val="Calibri"/>
        <family val="2"/>
      </rPr>
      <t xml:space="preserve">ESTIMATED IMPORT COSTS: </t>
    </r>
    <r>
      <rPr>
        <sz val="9"/>
        <color rgb="FF000000"/>
        <rFont val="Calibri"/>
        <family val="2"/>
      </rPr>
      <t xml:space="preserve">The above tax and brokerage figures are provided as a non-binding estimate based on current rates and the delivery location.
</t>
    </r>
    <r>
      <rPr>
        <b/>
        <sz val="9"/>
        <color rgb="FF000000"/>
        <rFont val="Calibri"/>
        <family val="2"/>
      </rPr>
      <t xml:space="preserve">Actual amounts may vary based on:
</t>
    </r>
    <r>
      <rPr>
        <sz val="9"/>
        <color rgb="FF000000"/>
        <rFont val="Calibri"/>
        <family val="2"/>
      </rPr>
      <t>Final freight charges; 
Currency exchange rates; 
Customs valuation adjustments; and 
Carrier brokerage fees
All applicable taxes, customs clearance fees, and brokerage charges are the responsibility of the purchaser and are assessed at the time of import by Canadian customs and the selected carrier.</t>
    </r>
  </si>
  <si>
    <r>
      <rPr>
        <b/>
        <sz val="11"/>
        <color rgb="FF000000"/>
        <rFont val="Calibri"/>
        <family val="2"/>
        <scheme val="minor"/>
      </rPr>
      <t xml:space="preserve">ESTIMATED IMPORT COSTS (ESTIMATE IN </t>
    </r>
    <r>
      <rPr>
        <b/>
        <i/>
        <sz val="11"/>
        <color rgb="FF000000"/>
        <rFont val="Calibri"/>
        <family val="2"/>
        <scheme val="minor"/>
      </rPr>
      <t>CAD</t>
    </r>
    <r>
      <rPr>
        <b/>
        <sz val="11"/>
        <color rgb="FF000000"/>
        <rFont val="Calibri"/>
        <family val="2"/>
        <scheme val="minor"/>
      </rPr>
      <t xml:space="preserve"> - FOR REFERENCE ONLY)</t>
    </r>
  </si>
  <si>
    <t>Tax Rate</t>
  </si>
  <si>
    <t>USD</t>
  </si>
  <si>
    <t>HS CODE</t>
  </si>
  <si>
    <t>https://borderbuddy.com/quote</t>
  </si>
  <si>
    <t>TARIFF:</t>
  </si>
  <si>
    <t>7326.90.90.90</t>
  </si>
  <si>
    <t>GST:</t>
  </si>
  <si>
    <t>PST:</t>
  </si>
  <si>
    <t>These figures are provided as a guideline only. Final amounts will be assessed by Canadian customs and the selected carrier at the time of import.</t>
  </si>
  <si>
    <r>
      <rPr>
        <b/>
        <sz val="11"/>
        <color rgb="FF000000"/>
        <rFont val="Calibri"/>
        <family val="2"/>
      </rPr>
      <t xml:space="preserve">ESTIMATED BROKERAGE FEES (ESTIMATE IN </t>
    </r>
    <r>
      <rPr>
        <b/>
        <i/>
        <sz val="11"/>
        <color rgb="FF000000"/>
        <rFont val="Calibri"/>
        <family val="2"/>
      </rPr>
      <t>CAD</t>
    </r>
    <r>
      <rPr>
        <b/>
        <sz val="11"/>
        <color rgb="FF000000"/>
        <rFont val="Calibri"/>
        <family val="2"/>
      </rPr>
      <t xml:space="preserve"> - FOR REFERENCE ONLY)</t>
    </r>
  </si>
  <si>
    <t>Brokerage Fee (CAD)</t>
  </si>
  <si>
    <t>GST Tax</t>
  </si>
  <si>
    <t>PST Tax</t>
  </si>
  <si>
    <r>
      <rPr>
        <b/>
        <sz val="11"/>
        <color rgb="FF000000"/>
        <rFont val="Calibri"/>
        <family val="2"/>
      </rPr>
      <t xml:space="preserve">ESTIMATED BROKERAGE FEES &amp; TAXES </t>
    </r>
    <r>
      <rPr>
        <b/>
        <i/>
        <sz val="11"/>
        <color rgb="FF000000"/>
        <rFont val="Calibri"/>
        <family val="2"/>
      </rPr>
      <t>(CAD)</t>
    </r>
    <r>
      <rPr>
        <b/>
        <sz val="11"/>
        <color rgb="FF000000"/>
        <rFont val="Calibri"/>
        <family val="2"/>
      </rPr>
      <t xml:space="preserve"> - SHIPMENT 1:</t>
    </r>
  </si>
  <si>
    <r>
      <rPr>
        <b/>
        <sz val="11"/>
        <color rgb="FF000000"/>
        <rFont val="Calibri"/>
        <family val="2"/>
      </rPr>
      <t xml:space="preserve">ESTIMATED BROKERAGE FEES &amp; TAXES </t>
    </r>
    <r>
      <rPr>
        <b/>
        <i/>
        <sz val="11"/>
        <color rgb="FF000000"/>
        <rFont val="Calibri"/>
        <family val="2"/>
      </rPr>
      <t>(CAD)</t>
    </r>
    <r>
      <rPr>
        <b/>
        <sz val="11"/>
        <color rgb="FF000000"/>
        <rFont val="Calibri"/>
        <family val="2"/>
      </rPr>
      <t xml:space="preserve"> - SHIPMENT 2:</t>
    </r>
  </si>
  <si>
    <t>TOTAL PROPOSAL COST</t>
  </si>
  <si>
    <r>
      <rPr>
        <b/>
        <sz val="11"/>
        <color rgb="FF000000"/>
        <rFont val="Calibri"/>
        <family val="2"/>
      </rPr>
      <t>TOTAL PROPOSAL COST</t>
    </r>
    <r>
      <rPr>
        <b/>
        <i/>
        <sz val="11"/>
        <color rgb="FF000000"/>
        <rFont val="Calibri"/>
        <family val="2"/>
      </rPr>
      <t xml:space="preserve"> (USD)</t>
    </r>
  </si>
  <si>
    <r>
      <rPr>
        <b/>
        <sz val="11"/>
        <color rgb="FF000000"/>
        <rFont val="Calibri"/>
        <family val="2"/>
      </rPr>
      <t xml:space="preserve">TOTAL PROPOSAL COST </t>
    </r>
    <r>
      <rPr>
        <b/>
        <i/>
        <sz val="11"/>
        <color rgb="FF000000"/>
        <rFont val="Calibri"/>
        <family val="2"/>
      </rPr>
      <t>(CAD)</t>
    </r>
  </si>
  <si>
    <t>PROPOSAL #</t>
  </si>
  <si>
    <t>Based on your business needs, we put the following proposal together to help with your purchase decision.</t>
  </si>
  <si>
    <t>PRODUCT DESCRIPTION</t>
  </si>
  <si>
    <t>SUMMIT FLEX: UNIVERSAL EXERCISE UNIT (SPIDER CAGE)</t>
  </si>
  <si>
    <t>The Summit Flex Universal Exercise Unit (Spider Cage) features a pulley system that allows for resistive muscle-strengthening exercises, customized to each patient's needs. By eliminating the influence of gravity, therapists can isolate and train the target joint, promoting range of motion and improved muscle strength. Additionally, the Spider Cage suspension system provides just the right amount of support needed for securing and balancing patients while practicing or performing needed movements, making it a valuable tool for improving balance, coordination, and postural control.</t>
  </si>
  <si>
    <r>
      <rPr>
        <b/>
        <sz val="11"/>
        <color rgb="FF000000"/>
        <rFont val="Calibri"/>
        <family val="2"/>
      </rPr>
      <t>UNIVERSAL EXERCISE UNIT (SPIDER CAGE) TRACKING RAIL SYSTEM</t>
    </r>
    <r>
      <rPr>
        <b/>
        <i/>
        <sz val="11"/>
        <color rgb="FF000000"/>
        <rFont val="Calibri"/>
        <family val="2"/>
      </rPr>
      <t xml:space="preserve"> (Optional)</t>
    </r>
  </si>
  <si>
    <t>UQ-RAIL</t>
  </si>
  <si>
    <t xml:space="preserve">Our upgraded Summit Flex Universal Exercise Unit (Spider Cage) now features a premium center-mounted tracking rail that allows a suspended patient in a therapy suit to glide smoothly from the back to the front of the cage. This addition is perfect for gait training, walking therapy, and core strengthening, making the Summit Flex ideal for advanced therapy applications. The tracking rail enhances mobility and safety, creating more engaging and functional movement experiences for patients.
</t>
  </si>
  <si>
    <r>
      <rPr>
        <b/>
        <sz val="11"/>
        <color rgb="FF000000"/>
        <rFont val="Calibri"/>
        <family val="2"/>
      </rPr>
      <t xml:space="preserve">UNIVERSAL EXCERISE UNIT (SPIDER CAGE) SAFETY PADDING </t>
    </r>
    <r>
      <rPr>
        <b/>
        <i/>
        <sz val="11"/>
        <color rgb="FF000000"/>
        <rFont val="Calibri"/>
        <family val="2"/>
      </rPr>
      <t>(Optional)</t>
    </r>
  </si>
  <si>
    <t>UQ-PAD</t>
  </si>
  <si>
    <r>
      <rPr>
        <b/>
        <sz val="11"/>
        <color rgb="FF000000"/>
        <rFont val="Calibri"/>
        <family val="2"/>
      </rPr>
      <t xml:space="preserve">UNIVERSAL EXCERCISE UNIT (SPIDER CAGE) ACCESSORIES </t>
    </r>
    <r>
      <rPr>
        <b/>
        <i/>
        <sz val="11"/>
        <color rgb="FF000000"/>
        <rFont val="Calibri"/>
        <family val="2"/>
      </rPr>
      <t>(Optional)</t>
    </r>
  </si>
  <si>
    <t>UQ-ACC</t>
  </si>
  <si>
    <t>FLEX-BOOT</t>
  </si>
  <si>
    <t>*Highly Recommended</t>
  </si>
  <si>
    <t>CUSTOM COLOR UPCHARGE</t>
  </si>
  <si>
    <t>Premium Powder Color</t>
  </si>
  <si>
    <t>POW-1000</t>
  </si>
  <si>
    <t>ESTIMATED TAX:</t>
  </si>
  <si>
    <t>If you have any questions, please contact Bryan Shepherd, 720-457-5500, Bryan@SummitSensory.com</t>
  </si>
  <si>
    <t>Summit Flex: Pro Pack – Complete Universal Exercise Unit System</t>
  </si>
  <si>
    <t>SUMMIT FLEX: PRO PACK - COMPLETE UNIVERSAL EXCERISE UNIT SYSTEM</t>
  </si>
  <si>
    <t>Summit Flex: Universal Excerise Unit (Spider Cage)</t>
  </si>
  <si>
    <t>Summit Flex: Pro-Pack</t>
  </si>
  <si>
    <t>ONLY 1 BELT IS INCLUDED IN PRO-PACK</t>
  </si>
  <si>
    <t>DEFAULT</t>
  </si>
  <si>
    <t>PRO-PACK SUBTOTAL</t>
  </si>
  <si>
    <r>
      <rPr>
        <b/>
        <sz val="11"/>
        <color rgb="FF000000"/>
        <rFont val="Calibri"/>
        <family val="2"/>
        <scheme val="minor"/>
      </rPr>
      <t xml:space="preserve">ADDITIONAL ITEMS </t>
    </r>
    <r>
      <rPr>
        <b/>
        <i/>
        <sz val="11"/>
        <color rgb="FF000000"/>
        <rFont val="Calibri"/>
        <family val="2"/>
        <scheme val="minor"/>
      </rPr>
      <t>(Optional)</t>
    </r>
  </si>
  <si>
    <t>UQ-AD</t>
  </si>
  <si>
    <t>Additional Belts</t>
  </si>
  <si>
    <r>
      <rPr>
        <b/>
        <sz val="11"/>
        <color rgb="FF000000"/>
        <rFont val="Calibri"/>
        <family val="2"/>
      </rPr>
      <t xml:space="preserve">UNIVERSAL EXERCISE UNIT TRAINING COURSE </t>
    </r>
    <r>
      <rPr>
        <b/>
        <i/>
        <sz val="11"/>
        <color rgb="FF000000"/>
        <rFont val="Calibri"/>
        <family val="2"/>
      </rPr>
      <t>(Optional)</t>
    </r>
  </si>
  <si>
    <t>UQ-TC</t>
  </si>
  <si>
    <t>UEU Training</t>
  </si>
  <si>
    <t>Summit/PediaSuit UEU Training Course</t>
  </si>
  <si>
    <t>TRAINING</t>
  </si>
  <si>
    <t>Training</t>
  </si>
  <si>
    <t>Location: TBD</t>
  </si>
  <si>
    <t>PRO BUNDLE DISCOUNT:</t>
  </si>
  <si>
    <t>Summit Soar Frame Type</t>
  </si>
  <si>
    <t>Units</t>
  </si>
  <si>
    <t>S1</t>
  </si>
  <si>
    <t>S2</t>
  </si>
  <si>
    <t>S3</t>
  </si>
  <si>
    <t>S1-XL</t>
  </si>
  <si>
    <t>S2-XL</t>
  </si>
  <si>
    <t>S3-XL</t>
  </si>
  <si>
    <t>Padding/Column Wrap</t>
  </si>
  <si>
    <t>Discount</t>
  </si>
  <si>
    <t>SENSORY GYM PROPOSAL - PROJECT SCOPE</t>
  </si>
  <si>
    <t>The Summit Soar Sensory Swing Frame is a freestanding therapeutic swing frame that is perfect for indoor use. It is designed specifically for multisensory gyms that have low ceilings or are smaller in size. The compact swing frame is constructed of durable and non-corrosive powder-coated steel with safety padding on the uprights and bases. It can support up to 1,000 lbs. and accommodates a variety of therapy swings, including linear and rotational as well as single and double point swings. Note that the mat and swings are not included.
Ideal for smaller rooms and rooms with lower ceilings, the Summit Soar provides more than 35 various connection points for a wide variety of therapy swings to be used within the structure. The eyebolts are included for attaching therapy swings, including high back, platform, strap, wheel, and cuddle swings. The Summit Soar can be used in sensory gyms, special ed classrooms, and homes.
Occupational therapists use the Summit Soar to administer vestibular, neuro-developmental, and sensory integration swing therapy to clients with ADHD, Autism, and other Sensory Processing Disorders. The Summit Soar Sensory Swing Frame is a responsive, reliable, and transparent partner that stands out from the competition.</t>
  </si>
  <si>
    <r>
      <rPr>
        <b/>
        <sz val="11"/>
        <color rgb="FF000000"/>
        <rFont val="Calibri"/>
        <family val="2"/>
      </rPr>
      <t xml:space="preserve">SUMMIT SOAR MATS &amp; ACCESSORIES </t>
    </r>
    <r>
      <rPr>
        <b/>
        <i/>
        <sz val="11"/>
        <color rgb="FF000000"/>
        <rFont val="Calibri"/>
        <family val="2"/>
      </rPr>
      <t>(Optional)</t>
    </r>
  </si>
  <si>
    <r>
      <rPr>
        <b/>
        <sz val="9"/>
        <color rgb="FF000000"/>
        <rFont val="Calibri"/>
        <family val="2"/>
      </rPr>
      <t>IMPORTANT PROPOSAL DETAILS:</t>
    </r>
    <r>
      <rPr>
        <sz val="9"/>
        <color rgb="FF000000"/>
        <rFont val="Calibri"/>
        <family val="2"/>
      </rPr>
      <t xml:space="preserve"> 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For payments made by credit card, a 3.5% processing fee will be added to the total amount.</t>
    </r>
  </si>
  <si>
    <r>
      <rPr>
        <b/>
        <sz val="9"/>
        <color rgb="FF000000"/>
        <rFont val="Calibri"/>
        <family val="2"/>
      </rPr>
      <t>CRATING &amp; FREIGHT FEES:</t>
    </r>
    <r>
      <rPr>
        <sz val="9"/>
        <color rgb="FF000000"/>
        <rFont val="Calibri"/>
        <family val="2"/>
      </rPr>
      <t xml:space="preserve"> 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</si>
  <si>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PROJECT SCOPE</t>
  </si>
  <si>
    <t>Summit Scape: Complete Sensory &amp; Calming Room</t>
  </si>
  <si>
    <t>PURCHASE ORDER</t>
  </si>
  <si>
    <t>Filename:</t>
  </si>
  <si>
    <t>Englewood, Co 80111</t>
  </si>
  <si>
    <t>PURCHASE ORDER NO.</t>
  </si>
  <si>
    <t>CUSTOMER NO.</t>
  </si>
  <si>
    <t>VENDOR</t>
  </si>
  <si>
    <t>SHIP TO</t>
  </si>
  <si>
    <t>Productive Tool Products</t>
  </si>
  <si>
    <t>Goldberg Brothers, Inc.</t>
  </si>
  <si>
    <t>1075 Headquarters Park Drive</t>
  </si>
  <si>
    <t>Attention: Grant Golesh</t>
  </si>
  <si>
    <t>Fenton, MO  63026</t>
  </si>
  <si>
    <t>Phone: 636-305-1200</t>
  </si>
  <si>
    <t>10488 W Centennial Rd Suite 100</t>
  </si>
  <si>
    <t>Fax: 636-305-1202</t>
  </si>
  <si>
    <t>Littleton, CO 80127</t>
  </si>
  <si>
    <t>Phone: (303) 321-1099</t>
  </si>
  <si>
    <t>SHIPPING METHOD</t>
  </si>
  <si>
    <t>SHIPPING TERMS</t>
  </si>
  <si>
    <t>SHIP VIA</t>
  </si>
  <si>
    <t>PAYMENT</t>
  </si>
  <si>
    <t>DELIVERY DATE</t>
  </si>
  <si>
    <t>Contact Grant Golesh (grantg@goldbergbrothers.com) for FedEx shipping Label</t>
  </si>
  <si>
    <t>ITEM NO.</t>
  </si>
  <si>
    <t>UNIT PRICE</t>
  </si>
  <si>
    <t>9' of Aluminum enclosed rail 550lbs. max weight with end cap holes</t>
  </si>
  <si>
    <t>7' of Aluminum enclosed rail 550lbs. max weight with end cap holes</t>
  </si>
  <si>
    <t>SPACE</t>
  </si>
  <si>
    <t>Trolley for TR2000 rail</t>
  </si>
  <si>
    <t>End Cap for TR2000 rail</t>
  </si>
  <si>
    <t>Remarks / Instructions:</t>
  </si>
  <si>
    <t>DISCOUNT</t>
  </si>
  <si>
    <t>SUBTOTAL LESS DISCOUNT</t>
  </si>
  <si>
    <t>AUTHORIZED SIGNATURE</t>
  </si>
  <si>
    <t>DATE:</t>
  </si>
  <si>
    <t>Gym Type</t>
  </si>
  <si>
    <t>Gym Shape</t>
  </si>
  <si>
    <t>Gym Package</t>
  </si>
  <si>
    <t>Crating</t>
  </si>
  <si>
    <t>Powder Brand</t>
  </si>
  <si>
    <t>FABRICATOR PRICING</t>
  </si>
  <si>
    <t>PRICING</t>
  </si>
  <si>
    <t>Product Line</t>
  </si>
  <si>
    <t>Commercial</t>
  </si>
  <si>
    <t>Square</t>
  </si>
  <si>
    <t>Everest</t>
  </si>
  <si>
    <t>Fabricators--&gt;</t>
  </si>
  <si>
    <t>Dakotaland</t>
  </si>
  <si>
    <t>Goldberg</t>
  </si>
  <si>
    <t>Selling Price</t>
  </si>
  <si>
    <t>Summit Adventure</t>
  </si>
  <si>
    <t>K2</t>
  </si>
  <si>
    <t>Prismatic</t>
  </si>
  <si>
    <t>Summit Flex</t>
  </si>
  <si>
    <t>Home</t>
  </si>
  <si>
    <t>Custom</t>
  </si>
  <si>
    <t>Prismatic-Other</t>
  </si>
  <si>
    <t>Summit Soar</t>
  </si>
  <si>
    <t>Double Leg Ladder Sleeve Weld Assembly</t>
  </si>
  <si>
    <t>8' HALF BAY &lt;80 HSS MEMBER ALT W/LOGO</t>
  </si>
  <si>
    <t>9' HALF BAY &lt;80 HSS MEMBER W/SPLICES &amp; HDWE</t>
  </si>
  <si>
    <t>10' HALF BAY &lt;90 HSS MEMBER W/SPLICES &amp; HDWE</t>
  </si>
  <si>
    <t>Accessory Saddle w/Logo</t>
  </si>
  <si>
    <t>Monkey Bar w/ 4 Threaded Holes</t>
  </si>
  <si>
    <t>Zip Line Hss Tube</t>
  </si>
  <si>
    <t>P-2027</t>
  </si>
  <si>
    <t>BASE PLATE SHIELD</t>
  </si>
  <si>
    <t>P-2102</t>
  </si>
  <si>
    <t>MONKEY BAR W/THREADS</t>
  </si>
  <si>
    <t>6' FULL BAY MONKEY BAR HSS MEMBER ALT W/LOGO</t>
  </si>
  <si>
    <t>7' FULL BAY MONKEY BAR HSS MEMBER ALT W/LOGO</t>
  </si>
  <si>
    <t>8' HALF BAY &lt;80  MONKEY BAR HSS MEMBER ALT W/LOGO</t>
  </si>
  <si>
    <t>9' HALF BAY &lt;80  MONKEY BAR HSS W/SPLICES &amp; HDWE</t>
  </si>
  <si>
    <t>10' HALF BAY &lt;90  MONKEY BAR HSS W/SPLICES &amp; HDWE</t>
  </si>
  <si>
    <t>SUMMIT FLEX TROLLEY RAIL REAR BRACKET</t>
  </si>
  <si>
    <t>HARNESS SPREADER BAR - SUMMIT FLEX -TRS</t>
  </si>
  <si>
    <t>10' Aluminum enclosed rail 550lbs. max weight</t>
  </si>
  <si>
    <t>9' Aluminum enclosed rail 550lbs. max weight</t>
  </si>
  <si>
    <t>8' Aluminum enclosed rail 550lbs. max weight</t>
  </si>
  <si>
    <t>7' Aluminum enclosed rail 550lbs. max weight</t>
  </si>
  <si>
    <t>Ball Rack Kit with Hardware</t>
  </si>
  <si>
    <t>Bagged Letters</t>
  </si>
  <si>
    <t>AD</t>
  </si>
  <si>
    <t>PLAYGROUND HANDLES, GATE HANDLES 1 EACH</t>
  </si>
  <si>
    <t>Z</t>
  </si>
  <si>
    <t>6820H-LZ-1</t>
  </si>
  <si>
    <t>RED HEAD TRUBOLT 1/2 X 4.25 WEDGE ANCHOR EACH</t>
  </si>
  <si>
    <t>DD</t>
  </si>
  <si>
    <t>3/8 SWIVEL EYE BOLT (AAC BRKT SWIVEL OPTION)</t>
  </si>
  <si>
    <t>AC</t>
  </si>
  <si>
    <t>P</t>
  </si>
  <si>
    <t>Y</t>
  </si>
  <si>
    <t>E</t>
  </si>
  <si>
    <t>6820H-LE-G</t>
  </si>
  <si>
    <t>HITCH PIN SWIVEL LOCK 1/2 X 3-1/2</t>
  </si>
  <si>
    <t>C</t>
  </si>
  <si>
    <t>X</t>
  </si>
  <si>
    <t>F</t>
  </si>
  <si>
    <t>B</t>
  </si>
  <si>
    <t>A</t>
  </si>
  <si>
    <t>AG</t>
  </si>
  <si>
    <t>H</t>
  </si>
  <si>
    <t>G</t>
  </si>
  <si>
    <t>I</t>
  </si>
  <si>
    <t>J</t>
  </si>
  <si>
    <t>K</t>
  </si>
  <si>
    <t>L</t>
  </si>
  <si>
    <t>T</t>
  </si>
  <si>
    <t>AB</t>
  </si>
  <si>
    <t>AA</t>
  </si>
  <si>
    <t>U</t>
  </si>
  <si>
    <t>V</t>
  </si>
  <si>
    <t>W</t>
  </si>
  <si>
    <t>Q</t>
  </si>
  <si>
    <t>O</t>
  </si>
  <si>
    <t>R</t>
  </si>
  <si>
    <t>M</t>
  </si>
  <si>
    <t>N</t>
  </si>
  <si>
    <t>S</t>
  </si>
  <si>
    <t>AE</t>
  </si>
  <si>
    <t>AF</t>
  </si>
  <si>
    <t>AH</t>
  </si>
  <si>
    <t>AI</t>
  </si>
  <si>
    <t>AJ</t>
  </si>
  <si>
    <t>AK</t>
  </si>
  <si>
    <t>AL</t>
  </si>
  <si>
    <t>AM</t>
  </si>
  <si>
    <t>6820H-LAM</t>
  </si>
  <si>
    <t>TAP BOLT, 1/2" X 1.75"</t>
  </si>
  <si>
    <t>AN</t>
  </si>
  <si>
    <t xml:space="preserve">SSG-SA-SWIVEL-EYE  </t>
  </si>
  <si>
    <t>RESILITE PADDING</t>
  </si>
  <si>
    <t>RESILITE</t>
  </si>
  <si>
    <t>Width (Inches)</t>
  </si>
  <si>
    <t>Length (Inches)</t>
  </si>
  <si>
    <t>Total SQ (Inches)</t>
  </si>
  <si>
    <t>Total Sq Ft</t>
  </si>
  <si>
    <t>Price Per SQ Ft</t>
  </si>
  <si>
    <t>100" x 80" x 3.25" Single-Fold CLM Style Mat</t>
  </si>
  <si>
    <t>60" x 3-1/2" x 3-1/2" x 1.375" Column Wrap</t>
  </si>
  <si>
    <t>30" x 3-1/2" x 3-1/2" x 3-1/2" x 1.375" Column Wrap</t>
  </si>
  <si>
    <t>Custom Gusset Plate Pads - See Drawing</t>
  </si>
  <si>
    <t>SSFLEX69722</t>
  </si>
  <si>
    <t>Sequence</t>
  </si>
  <si>
    <t>Project ID</t>
  </si>
  <si>
    <t>Point of Contact</t>
  </si>
  <si>
    <t>Customer Organization</t>
  </si>
  <si>
    <t>Address</t>
  </si>
  <si>
    <t>City</t>
  </si>
  <si>
    <t>State</t>
  </si>
  <si>
    <t>Zip</t>
  </si>
  <si>
    <t>Country</t>
  </si>
  <si>
    <t>Phone</t>
  </si>
  <si>
    <t>Email</t>
  </si>
  <si>
    <t>Soar Autism Center - South Fort Collins</t>
  </si>
  <si>
    <t>3801 Automation Way</t>
  </si>
  <si>
    <t>Fort Collins</t>
  </si>
  <si>
    <t>CO</t>
  </si>
  <si>
    <t>United States</t>
  </si>
  <si>
    <t>Proper</t>
  </si>
  <si>
    <t>Color Type</t>
  </si>
  <si>
    <t>Proposal Signature Date</t>
  </si>
  <si>
    <t>Estimated Deposit Date</t>
  </si>
  <si>
    <t>Adventure - Standard</t>
  </si>
  <si>
    <t>Adventure - Custom</t>
  </si>
  <si>
    <t>Soar - Standard</t>
  </si>
  <si>
    <t>Flex - Standard</t>
  </si>
  <si>
    <t>Summit Sensory Gym - Anticipated Delivery Windows</t>
  </si>
  <si>
    <t>Proposal Signature</t>
  </si>
  <si>
    <t>Deposit Date</t>
  </si>
  <si>
    <t>Scenario 1</t>
  </si>
  <si>
    <t>Sent to Manufacturing</t>
  </si>
  <si>
    <t>Color Selection - Extra Days</t>
  </si>
  <si>
    <t>Delivery Estimates</t>
  </si>
  <si>
    <t>Date Range</t>
  </si>
  <si>
    <t>Production</t>
  </si>
  <si>
    <r>
      <rPr>
        <b/>
        <sz val="11"/>
        <color rgb="FF000000"/>
        <rFont val="Calibri"/>
        <family val="2"/>
        <scheme val="minor"/>
      </rPr>
      <t xml:space="preserve">Structure </t>
    </r>
    <r>
      <rPr>
        <i/>
        <sz val="11"/>
        <color rgb="FF000000"/>
        <rFont val="Calibri"/>
        <family val="2"/>
        <scheme val="minor"/>
      </rPr>
      <t>(5-6 weeks) + shipping</t>
    </r>
  </si>
  <si>
    <t>Structure (Estimate - 35 Days)</t>
  </si>
  <si>
    <r>
      <rPr>
        <b/>
        <sz val="11"/>
        <color rgb="FF000000"/>
        <rFont val="Calibri"/>
        <family val="2"/>
      </rPr>
      <t xml:space="preserve">Mats &amp; Column Wraps </t>
    </r>
    <r>
      <rPr>
        <i/>
        <sz val="11"/>
        <color rgb="FF000000"/>
        <rFont val="Calibri"/>
        <family val="2"/>
      </rPr>
      <t>(8-10 weeks) + shipping</t>
    </r>
  </si>
  <si>
    <t>Shipping (Estimate - 3 Days)</t>
  </si>
  <si>
    <t>* It should be noted that we base our delivery dates on when we receive the initial order deposit. Once the deposit and frame/mat colors are received, we will then push the order into manufacturing.</t>
  </si>
  <si>
    <t>Mats &amp; Padding (Estimate - 63 Days)</t>
  </si>
  <si>
    <t>Shipping (Estimate - 4 Days)</t>
  </si>
  <si>
    <t>Estimated Delivery Date</t>
  </si>
  <si>
    <t>Structure</t>
  </si>
  <si>
    <t>Estimated Order to Delivery Days</t>
  </si>
  <si>
    <t>Mats</t>
  </si>
  <si>
    <t>Resilite Custom Mat Pricing</t>
  </si>
  <si>
    <t>Resilite Price Per Sq Ft</t>
  </si>
  <si>
    <t>SSG Price Per Sq Ft</t>
  </si>
  <si>
    <t>Resilite Custom Mat Segments &amp; Pricing</t>
  </si>
  <si>
    <t>Segment</t>
  </si>
  <si>
    <t>Width</t>
  </si>
  <si>
    <t>Length</t>
  </si>
  <si>
    <t>Total St Ft</t>
  </si>
  <si>
    <t>Resilite Price</t>
  </si>
  <si>
    <t>SSG Price</t>
  </si>
  <si>
    <t>Total</t>
  </si>
  <si>
    <t>Floor Pad Height (Inches)</t>
  </si>
  <si>
    <t>Resilite Cost</t>
  </si>
  <si>
    <t>Weight Per Sq Ft</t>
  </si>
  <si>
    <t>Yes / No</t>
  </si>
  <si>
    <t>Height</t>
  </si>
  <si>
    <t>Cost Per Sq Ft</t>
  </si>
  <si>
    <t>Total Ship Weight</t>
  </si>
  <si>
    <t>SQ Inches</t>
  </si>
  <si>
    <t>ve</t>
  </si>
  <si>
    <t>TRAVEL PROPOSAL DETAILS</t>
  </si>
  <si>
    <t>PROFESSIONAL ONSITE INSTALLATION &amp; SETUP OF SUMMIT SENSORY GYM PRODUCTS</t>
  </si>
  <si>
    <t>INSTALLATION TEAM SIZE</t>
  </si>
  <si>
    <t>ON-SITE INSTALLATION - ESTIMATED TRAVEL COST SUMMARY</t>
  </si>
  <si>
    <t>ESTIMATED COST</t>
  </si>
  <si>
    <t>Airfare - Estimate</t>
  </si>
  <si>
    <t>Sioux Falls - Airline Estimated Cost</t>
  </si>
  <si>
    <t>All flight costs are estimated and subject to adjustment based on actual airfare at the time of purchase.</t>
  </si>
  <si>
    <t>Denver - Airline Estimated Cost</t>
  </si>
  <si>
    <t>ELDOSUMMIT</t>
  </si>
  <si>
    <t>RDC6015-B</t>
  </si>
  <si>
    <r>
      <rPr>
        <b/>
        <i/>
        <sz val="8"/>
        <color rgb="FF000000"/>
        <rFont val="Calibri"/>
        <family val="2"/>
        <scheme val="minor"/>
      </rPr>
      <t xml:space="preserve">Ideal for </t>
    </r>
    <r>
      <rPr>
        <b/>
        <i/>
        <sz val="9"/>
        <color rgb="FF000000"/>
        <rFont val="Calibri"/>
        <family val="2"/>
        <scheme val="minor"/>
      </rPr>
      <t>Heavy</t>
    </r>
    <r>
      <rPr>
        <b/>
        <i/>
        <sz val="8"/>
        <color rgb="FF000000"/>
        <rFont val="Calibri"/>
        <family val="2"/>
        <scheme val="minor"/>
      </rPr>
      <t xml:space="preserve"> Swing Mount Use</t>
    </r>
  </si>
  <si>
    <t>Behavioral Health Associates - R-1-10x10 - Proposal ADV-BS-260116-001 - 01162026</t>
  </si>
  <si>
    <t>Midwest Install LLC</t>
  </si>
  <si>
    <t>Quote #</t>
  </si>
  <si>
    <t>00002</t>
  </si>
  <si>
    <t>Quote Amount</t>
  </si>
  <si>
    <t>SSG</t>
  </si>
  <si>
    <t>Markup</t>
  </si>
  <si>
    <t>Margin</t>
  </si>
  <si>
    <t>Just Orange River</t>
  </si>
  <si>
    <t>Blue Hawaii River</t>
  </si>
  <si>
    <t>CUSTOM COLOR DISCOUNT:</t>
  </si>
  <si>
    <t>Tyler Galiotto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</si>
</sst>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0.0%"/>
    <numFmt numFmtId="166" formatCode="mm/dd/yyyy"/>
    <numFmt numFmtId="167" formatCode="_-&quot;$&quot;* #,##0.00_-;\-&quot;$&quot;* #,##0.00_-;_-&quot;$&quot;* &quot;-&quot;??_-;_-@_-"/>
    <numFmt numFmtId="168" formatCode="mmddyyyy"/>
    <numFmt numFmtId="169" formatCode="_([$$-409]* #,##0.00_);_([$$-409]* \(#,##0.00\);_([$$-409]* &quot;-&quot;??_);_(@_)"/>
    <numFmt numFmtId="170" formatCode="0.000%"/>
    <numFmt numFmtId="171" formatCode="00000"/>
    <numFmt numFmtId="172" formatCode="_(* #,##0_);_(* \(#,##0\);_(* &quot;-&quot;??_);_(@_)"/>
    <numFmt numFmtId="173" formatCode="[&lt;=9999999]###\-####;\(###\)\ ###\-####"/>
    <numFmt numFmtId="174" formatCode="[$-409]mmmm\ d\,\ yyyy;@"/>
    <numFmt numFmtId="175" formatCode="[$-F800]dddd\,\ mmmm\ dd\,\ yyyy"/>
    <numFmt numFmtId="176" formatCode="_-[$$-1009]* #,##0.00_-;\-[$$-1009]* #,##0.00_-;_-[$$-1009]* &quot;-&quot;??_-;_-@_-"/>
    <numFmt numFmtId="177" formatCode="_([$$-409]* #,##0.0000_);_([$$-409]* \(#,##0.0000\);_([$$-409]* &quot;-&quot;??_);_(@_)"/>
  </numFmts>
  <fonts count="109">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sz val="11"/>
      <color theme="1"/>
      <name val="Calibri"/>
      <family val="2"/>
      <scheme val="minor"/>
    </font>
    <font>
      <sz val="11"/>
      <color theme="0"/>
      <name val="Calibri"/>
      <family val="2"/>
    </font>
    <font>
      <sz val="11"/>
      <name val="Calibri"/>
      <family val="2"/>
    </font>
    <font>
      <sz val="11"/>
      <name val="Calibri"/>
      <family val="2"/>
      <scheme val="minor"/>
    </font>
    <font>
      <b/>
      <sz val="15"/>
      <color theme="1"/>
      <name val="Calibri"/>
      <family val="2"/>
      <scheme val="minor"/>
    </font>
    <font>
      <u/>
      <sz val="11"/>
      <color theme="10"/>
      <name val="Calibri"/>
      <family val="2"/>
      <scheme val="minor"/>
    </font>
    <font>
      <sz val="8"/>
      <name val="Calibri"/>
      <family val="2"/>
      <scheme val="minor"/>
    </font>
    <font>
      <sz val="11"/>
      <name val="Arial"/>
      <family val="2"/>
    </font>
    <font>
      <sz val="10"/>
      <name val="Verdana"/>
      <family val="2"/>
    </font>
    <font>
      <sz val="16"/>
      <name val="Trebuchet MS"/>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Calibri"/>
      <family val="2"/>
      <scheme val="minor"/>
    </font>
    <font>
      <sz val="16"/>
      <name val="Calibri Light"/>
      <family val="2"/>
      <scheme val="major"/>
    </font>
    <font>
      <i/>
      <sz val="11"/>
      <name val="Calibri"/>
      <family val="2"/>
      <scheme val="minor"/>
    </font>
    <font>
      <b/>
      <sz val="11"/>
      <name val="Calibri"/>
      <family val="2"/>
      <scheme val="minor"/>
    </font>
    <font>
      <u/>
      <sz val="10"/>
      <color indexed="12"/>
      <name val="Calibri"/>
      <family val="2"/>
      <scheme val="minor"/>
    </font>
    <font>
      <b/>
      <sz val="12"/>
      <name val="Calibri"/>
      <family val="2"/>
      <scheme val="minor"/>
    </font>
    <font>
      <b/>
      <sz val="16"/>
      <name val="Calibri Light"/>
      <family val="2"/>
      <scheme val="major"/>
    </font>
    <font>
      <b/>
      <sz val="11"/>
      <color theme="1"/>
      <name val="Calibri"/>
      <family val="2"/>
      <scheme val="minor"/>
    </font>
    <font>
      <b/>
      <sz val="11"/>
      <color indexed="52"/>
      <name val="Calibri"/>
      <family val="2"/>
      <scheme val="minor"/>
    </font>
    <font>
      <b/>
      <sz val="11"/>
      <color theme="4"/>
      <name val="Calibri"/>
      <family val="2"/>
      <scheme val="minor"/>
    </font>
    <font>
      <sz val="11"/>
      <color theme="1" tint="0.24994659260841701"/>
      <name val="Calibri"/>
      <family val="2"/>
      <scheme val="minor"/>
    </font>
    <font>
      <b/>
      <sz val="11"/>
      <color theme="0"/>
      <name val="Calibri"/>
      <family val="2"/>
      <scheme val="minor"/>
    </font>
    <font>
      <sz val="11"/>
      <color theme="0"/>
      <name val="Calibri"/>
      <family val="2"/>
      <scheme val="minor"/>
    </font>
    <font>
      <b/>
      <sz val="28"/>
      <color theme="0" tint="-0.14999847407452621"/>
      <name val="Calibri"/>
      <family val="2"/>
    </font>
    <font>
      <sz val="12"/>
      <color theme="1"/>
      <name val="Calibri"/>
      <family val="2"/>
    </font>
    <font>
      <b/>
      <sz val="18"/>
      <name val="Calibri"/>
      <family val="2"/>
    </font>
    <font>
      <sz val="10"/>
      <color theme="1"/>
      <name val="Calibri"/>
      <family val="2"/>
    </font>
    <font>
      <b/>
      <sz val="12"/>
      <name val="Calibri Light"/>
      <family val="2"/>
    </font>
    <font>
      <b/>
      <sz val="11"/>
      <name val="Calibri"/>
      <family val="2"/>
    </font>
    <font>
      <sz val="11"/>
      <color rgb="FF000000"/>
      <name val="Calibri"/>
      <family val="2"/>
    </font>
    <font>
      <sz val="11"/>
      <color theme="1"/>
      <name val="Calibri"/>
      <family val="2"/>
    </font>
    <font>
      <sz val="10"/>
      <name val="Calibri"/>
      <family val="2"/>
    </font>
    <font>
      <b/>
      <sz val="16"/>
      <name val="Calibri"/>
      <family val="2"/>
    </font>
    <font>
      <b/>
      <sz val="22"/>
      <color theme="1"/>
      <name val="Calibri"/>
      <family val="2"/>
      <scheme val="minor"/>
    </font>
    <font>
      <b/>
      <sz val="11"/>
      <color rgb="FF000000"/>
      <name val="Calibri"/>
      <family val="2"/>
    </font>
    <font>
      <sz val="11"/>
      <color rgb="FF006100"/>
      <name val="Calibri"/>
      <family val="2"/>
    </font>
    <font>
      <b/>
      <i/>
      <sz val="8"/>
      <name val="Calibri"/>
      <family val="2"/>
      <scheme val="minor"/>
    </font>
    <font>
      <b/>
      <sz val="11"/>
      <color rgb="FF000000"/>
      <name val="Calibri"/>
      <family val="2"/>
      <scheme val="minor"/>
    </font>
    <font>
      <sz val="11"/>
      <color rgb="FF000000"/>
      <name val="Calibri"/>
      <family val="2"/>
      <scheme val="minor"/>
    </font>
    <font>
      <b/>
      <i/>
      <sz val="11"/>
      <color rgb="FF000000"/>
      <name val="Calibri"/>
      <family val="2"/>
    </font>
    <font>
      <sz val="11"/>
      <color rgb="FF000000"/>
      <name val="Arial"/>
      <family val="2"/>
    </font>
    <font>
      <b/>
      <i/>
      <sz val="11"/>
      <name val="Calibri"/>
      <family val="2"/>
      <scheme val="minor"/>
    </font>
    <font>
      <b/>
      <sz val="11"/>
      <color rgb="FFFFFFFF"/>
      <name val="Calibri"/>
      <family val="2"/>
    </font>
    <font>
      <b/>
      <sz val="14"/>
      <color theme="1"/>
      <name val="Calibri"/>
      <family val="2"/>
      <scheme val="minor"/>
    </font>
    <font>
      <b/>
      <sz val="12"/>
      <color theme="1"/>
      <name val="Calibri"/>
      <family val="2"/>
      <scheme val="minor"/>
    </font>
    <font>
      <b/>
      <sz val="14"/>
      <name val="Calibri"/>
      <family val="2"/>
      <scheme val="minor"/>
    </font>
    <font>
      <b/>
      <sz val="14"/>
      <color rgb="FF000000"/>
      <name val="Calibri"/>
      <family val="2"/>
    </font>
    <font>
      <i/>
      <sz val="11"/>
      <color rgb="FF000000"/>
      <name val="Calibri"/>
      <family val="2"/>
      <scheme val="minor"/>
    </font>
    <font>
      <b/>
      <i/>
      <sz val="10"/>
      <color rgb="FF000000"/>
      <name val="Calibri"/>
      <family val="2"/>
      <scheme val="minor"/>
    </font>
    <font>
      <b/>
      <sz val="10"/>
      <color rgb="FF000000"/>
      <name val="Calibri"/>
      <family val="2"/>
      <scheme val="minor"/>
    </font>
    <font>
      <sz val="11"/>
      <color rgb="FF000000"/>
      <name val="Calibri"/>
      <family val="2"/>
      <scheme val="minor"/>
    </font>
    <font>
      <sz val="11"/>
      <color rgb="FF333333"/>
      <name val="Figtree"/>
      <charset val="1"/>
    </font>
    <font>
      <i/>
      <sz val="10"/>
      <name val="Calibri"/>
      <family val="2"/>
      <scheme val="minor"/>
    </font>
    <font>
      <b/>
      <i/>
      <sz val="10"/>
      <name val="Calibri"/>
      <family val="2"/>
      <scheme val="minor"/>
    </font>
    <font>
      <i/>
      <sz val="9"/>
      <color theme="1"/>
      <name val="Calibri"/>
      <family val="2"/>
      <scheme val="minor"/>
    </font>
    <font>
      <b/>
      <sz val="16"/>
      <name val="Calibri"/>
      <family val="2"/>
      <scheme val="minor"/>
    </font>
    <font>
      <u/>
      <sz val="11"/>
      <color rgb="FF000000"/>
      <name val="Calibri"/>
      <family val="2"/>
      <scheme val="minor"/>
    </font>
    <font>
      <sz val="9"/>
      <color rgb="FF000000"/>
      <name val="Calibri"/>
      <family val="2"/>
    </font>
    <font>
      <sz val="9"/>
      <name val="Calibri"/>
      <family val="2"/>
      <scheme val="minor"/>
    </font>
    <font>
      <b/>
      <sz val="9"/>
      <color rgb="FF000000"/>
      <name val="Calibri"/>
      <family val="2"/>
    </font>
    <font>
      <b/>
      <i/>
      <sz val="9"/>
      <name val="Calibri"/>
      <family val="2"/>
      <scheme val="minor"/>
    </font>
    <font>
      <sz val="11"/>
      <color rgb="FF242424"/>
      <name val="Calibri"/>
      <family val="2"/>
      <scheme val="minor"/>
    </font>
    <font>
      <sz val="11"/>
      <color rgb="FF000000"/>
      <name val="Aptos Narrow"/>
      <family val="2"/>
    </font>
    <font>
      <sz val="11"/>
      <color rgb="FFFFFFFF"/>
      <name val="Calibri"/>
      <family val="2"/>
    </font>
    <font>
      <b/>
      <sz val="14"/>
      <color rgb="FF242424"/>
      <name val="Calibri"/>
      <family val="2"/>
      <scheme val="minor"/>
    </font>
    <font>
      <b/>
      <sz val="14"/>
      <color rgb="FF000000"/>
      <name val="Calibri"/>
      <family val="2"/>
      <scheme val="minor"/>
    </font>
    <font>
      <sz val="11"/>
      <color rgb="FF000000"/>
      <name val="Calibri"/>
      <family val="2"/>
      <scheme val="minor"/>
    </font>
    <font>
      <i/>
      <sz val="11"/>
      <color rgb="FF000000"/>
      <name val="Calibri"/>
      <family val="2"/>
    </font>
    <font>
      <b/>
      <i/>
      <sz val="11"/>
      <color theme="1"/>
      <name val="Calibri"/>
      <family val="2"/>
      <scheme val="minor"/>
    </font>
    <font>
      <b/>
      <sz val="11"/>
      <color rgb="FFFF0000"/>
      <name val="Calibri"/>
      <family val="2"/>
      <scheme val="minor"/>
    </font>
    <font>
      <sz val="11"/>
      <color rgb="FFFF0000"/>
      <name val="Calibri"/>
      <family val="2"/>
      <scheme val="minor"/>
    </font>
    <font>
      <b/>
      <sz val="16"/>
      <color theme="0"/>
      <name val="Calibri"/>
      <family val="2"/>
      <scheme val="minor"/>
    </font>
    <font>
      <b/>
      <sz val="11"/>
      <color theme="8" tint="-0.499984740745262"/>
      <name val="Calibri"/>
      <family val="2"/>
      <scheme val="minor"/>
    </font>
    <font>
      <b/>
      <sz val="11"/>
      <color theme="4" tint="-0.499984740745262"/>
      <name val="Calibri"/>
      <family val="2"/>
      <scheme val="minor"/>
    </font>
    <font>
      <b/>
      <i/>
      <sz val="8"/>
      <color rgb="FF000000"/>
      <name val="Calibri"/>
      <family val="2"/>
      <scheme val="minor"/>
    </font>
    <font>
      <b/>
      <i/>
      <sz val="9"/>
      <color rgb="FF000000"/>
      <name val="Calibri"/>
      <family val="2"/>
      <scheme val="minor"/>
    </font>
    <font>
      <b/>
      <sz val="9"/>
      <color rgb="FF000000"/>
      <name val="Calibri"/>
      <family val="2"/>
      <scheme val="minor"/>
    </font>
    <font>
      <b/>
      <i/>
      <sz val="11"/>
      <color rgb="FF000000"/>
      <name val="Calibri"/>
      <family val="2"/>
      <scheme val="minor"/>
    </font>
    <font>
      <b/>
      <sz val="11"/>
      <color theme="1"/>
      <name val="Aptos"/>
      <family val="2"/>
    </font>
    <font>
      <sz val="11"/>
      <color theme="1"/>
      <name val="Aptos"/>
      <family val="2"/>
    </font>
    <font>
      <sz val="9"/>
      <color theme="1"/>
      <name val="Calibri"/>
      <family val="2"/>
      <scheme val="minor"/>
    </font>
    <font>
      <b/>
      <sz val="9"/>
      <name val="Calibri"/>
      <family val="2"/>
      <scheme val="minor"/>
    </font>
    <font>
      <sz val="9"/>
      <color rgb="FF000000"/>
      <name val="Calibri"/>
      <family val="2"/>
      <scheme val="minor"/>
    </font>
    <font>
      <b/>
      <i/>
      <sz val="8"/>
      <name val="Calibri"/>
      <family val="2"/>
    </font>
    <font>
      <sz val="11"/>
      <color rgb="FF000000"/>
      <name val="Calibri"/>
      <scheme val="minor"/>
    </font>
    <font>
      <b/>
      <sz val="11"/>
      <color rgb="FF000000"/>
      <name val="Calibri"/>
    </font>
    <font>
      <b/>
      <i/>
      <sz val="11"/>
      <color rgb="FF000000"/>
      <name val="Calibri"/>
    </font>
  </fonts>
  <fills count="46">
    <fill>
      <patternFill patternType="none"/>
    </fill>
    <fill>
      <patternFill patternType="gray125"/>
    </fill>
    <fill>
      <patternFill patternType="solid">
        <fgColor rgb="FF92D050"/>
        <bgColor indexed="64"/>
      </patternFill>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2F2F2"/>
        <bgColor indexed="64"/>
      </patternFill>
    </fill>
    <fill>
      <patternFill patternType="solid">
        <fgColor rgb="FFC6EFCE"/>
        <bgColor rgb="FF000000"/>
      </patternFill>
    </fill>
    <fill>
      <patternFill patternType="solid">
        <fgColor rgb="FFB4C6E7"/>
        <bgColor rgb="FF000000"/>
      </patternFill>
    </fill>
    <fill>
      <patternFill patternType="solid">
        <fgColor rgb="FFFFFF00"/>
        <bgColor rgb="FF000000"/>
      </patternFill>
    </fill>
    <fill>
      <patternFill patternType="solid">
        <fgColor theme="0" tint="-0.249977111117893"/>
        <bgColor indexed="64"/>
      </patternFill>
    </fill>
    <fill>
      <patternFill patternType="solid">
        <fgColor rgb="FFF2F2F2"/>
        <bgColor rgb="FF000000"/>
      </patternFill>
    </fill>
    <fill>
      <patternFill patternType="solid">
        <fgColor rgb="FFBFBFBF"/>
        <bgColor rgb="FF000000"/>
      </patternFill>
    </fill>
    <fill>
      <patternFill patternType="solid">
        <fgColor rgb="FFFF0000"/>
        <bgColor indexed="64"/>
      </patternFill>
    </fill>
    <fill>
      <patternFill patternType="solid">
        <fgColor rgb="FFD9E1F2"/>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2CC"/>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bgColor indexed="64"/>
      </patternFill>
    </fill>
    <fill>
      <patternFill patternType="solid">
        <fgColor rgb="FFFFF2CC"/>
        <bgColor rgb="FF000000"/>
      </patternFill>
    </fill>
    <fill>
      <patternFill patternType="solid">
        <fgColor rgb="FFFFC000"/>
        <bgColor indexed="64"/>
      </patternFill>
    </fill>
  </fills>
  <borders count="123">
    <border>
      <left/>
      <right/>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right/>
      <top style="thin">
        <color theme="0" tint="-0.499984740745262"/>
      </top>
      <bottom style="thin">
        <color theme="0" tint="-0.499984740745262"/>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right/>
      <top/>
      <bottom style="medium">
        <color indexed="64"/>
      </bottom>
      <diagonal/>
    </border>
    <border>
      <left/>
      <right/>
      <top style="thin">
        <color theme="0" tint="-0.499984740745262"/>
      </top>
      <bottom style="thin">
        <color auto="1"/>
      </bottom>
      <diagonal/>
    </border>
    <border>
      <left/>
      <right style="thin">
        <color theme="0" tint="-0.499984740745262"/>
      </right>
      <top style="thin">
        <color theme="0" tint="-0.499984740745262"/>
      </top>
      <bottom style="thin">
        <color auto="1"/>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medium">
        <color indexed="64"/>
      </bottom>
      <diagonal/>
    </border>
    <border>
      <left/>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indexed="64"/>
      </left>
      <right/>
      <top style="thin">
        <color indexed="64"/>
      </top>
      <bottom style="medium">
        <color indexed="64"/>
      </bottom>
      <diagonal/>
    </border>
    <border>
      <left style="thin">
        <color theme="0" tint="-0.499984740745262"/>
      </left>
      <right style="thin">
        <color indexed="64"/>
      </right>
      <top style="thin">
        <color indexed="64"/>
      </top>
      <bottom style="medium">
        <color indexed="64"/>
      </bottom>
      <diagonal/>
    </border>
    <border>
      <left style="thin">
        <color theme="0" tint="-0.499984740745262"/>
      </left>
      <right style="thin">
        <color indexed="64"/>
      </right>
      <top/>
      <bottom/>
      <diagonal/>
    </border>
    <border>
      <left style="thin">
        <color indexed="64"/>
      </left>
      <right/>
      <top/>
      <bottom style="medium">
        <color indexed="64"/>
      </bottom>
      <diagonal/>
    </border>
    <border>
      <left style="thin">
        <color theme="0" tint="-0.499984740745262"/>
      </left>
      <right style="thin">
        <color indexed="64"/>
      </right>
      <top/>
      <bottom style="medium">
        <color indexed="64"/>
      </bottom>
      <diagonal/>
    </border>
    <border>
      <left style="thin">
        <color indexed="64"/>
      </left>
      <right/>
      <top style="thin">
        <color theme="0" tint="-0.499984740745262"/>
      </top>
      <bottom style="thin">
        <color indexed="64"/>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indexed="64"/>
      </bottom>
      <diagonal/>
    </border>
    <border>
      <left/>
      <right/>
      <top/>
      <bottom style="thin">
        <color theme="0" tint="-0.249977111117893"/>
      </bottom>
      <diagonal/>
    </border>
    <border>
      <left/>
      <right/>
      <top style="thin">
        <color theme="0" tint="-0.249977111117893"/>
      </top>
      <bottom/>
      <diagonal/>
    </border>
    <border>
      <left style="hair">
        <color theme="0" tint="-0.249977111117893"/>
      </left>
      <right style="hair">
        <color theme="0" tint="-0.249977111117893"/>
      </right>
      <top style="thin">
        <color theme="0" tint="-0.249977111117893"/>
      </top>
      <bottom style="hair">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499984740745262"/>
      </left>
      <right/>
      <top/>
      <bottom/>
      <diagonal/>
    </border>
    <border>
      <left/>
      <right style="thin">
        <color indexed="64"/>
      </right>
      <top/>
      <bottom/>
      <diagonal/>
    </border>
    <border>
      <left/>
      <right/>
      <top/>
      <bottom style="medium">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theme="0" tint="-0.499984740745262"/>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medium">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theme="0" tint="-0.499984740745262"/>
      </left>
      <right style="thin">
        <color theme="0" tint="-0.499984740745262"/>
      </right>
      <top/>
      <bottom style="medium">
        <color rgb="FF000000"/>
      </bottom>
      <diagonal/>
    </border>
    <border>
      <left style="thin">
        <color theme="0" tint="-0.499984740745262"/>
      </left>
      <right style="thin">
        <color indexed="64"/>
      </right>
      <top/>
      <bottom style="medium">
        <color rgb="FF000000"/>
      </bottom>
      <diagonal/>
    </border>
    <border>
      <left/>
      <right style="thin">
        <color theme="0" tint="-0.499984740745262"/>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style="medium">
        <color rgb="FF000000"/>
      </bottom>
      <diagonal/>
    </border>
    <border>
      <left style="thin">
        <color theme="0" tint="-0.499984740745262"/>
      </left>
      <right style="thin">
        <color theme="0" tint="-0.499984740745262"/>
      </right>
      <top style="thin">
        <color indexed="64"/>
      </top>
      <bottom style="medium">
        <color rgb="FF000000"/>
      </bottom>
      <diagonal/>
    </border>
    <border>
      <left style="thin">
        <color theme="0" tint="-0.499984740745262"/>
      </left>
      <right style="thin">
        <color indexed="64"/>
      </right>
      <top style="thin">
        <color indexed="64"/>
      </top>
      <bottom style="medium">
        <color rgb="FF000000"/>
      </bottom>
      <diagonal/>
    </border>
    <border>
      <left style="thin">
        <color rgb="FF000000"/>
      </left>
      <right style="thin">
        <color rgb="FF000000"/>
      </right>
      <top/>
      <bottom style="medium">
        <color indexed="64"/>
      </bottom>
      <diagonal/>
    </border>
    <border>
      <left/>
      <right/>
      <top style="thin">
        <color rgb="FF000000"/>
      </top>
      <bottom style="thin">
        <color auto="1"/>
      </bottom>
      <diagonal/>
    </border>
    <border>
      <left/>
      <right style="thin">
        <color theme="0" tint="-0.499984740745262"/>
      </right>
      <top style="thin">
        <color rgb="FF000000"/>
      </top>
      <bottom style="thin">
        <color auto="1"/>
      </bottom>
      <diagonal/>
    </border>
    <border>
      <left style="thin">
        <color theme="0" tint="-0.499984740745262"/>
      </left>
      <right/>
      <top style="thin">
        <color rgb="FF000000"/>
      </top>
      <bottom/>
      <diagonal/>
    </border>
    <border>
      <left style="thin">
        <color rgb="FF000000"/>
      </left>
      <right style="thin">
        <color rgb="FF000000"/>
      </right>
      <top/>
      <bottom style="medium">
        <color rgb="FF000000"/>
      </bottom>
      <diagonal/>
    </border>
    <border>
      <left/>
      <right style="thin">
        <color rgb="FF000000"/>
      </right>
      <top/>
      <bottom style="medium">
        <color indexed="64"/>
      </bottom>
      <diagonal/>
    </border>
    <border>
      <left/>
      <right style="thin">
        <color rgb="FF000000"/>
      </right>
      <top/>
      <bottom style="medium">
        <color rgb="FF000000"/>
      </bottom>
      <diagonal/>
    </border>
    <border>
      <left/>
      <right style="thin">
        <color rgb="FF000000"/>
      </right>
      <top style="thin">
        <color theme="0" tint="-0.499984740745262"/>
      </top>
      <bottom style="thin">
        <color auto="1"/>
      </bottom>
      <diagonal/>
    </border>
    <border>
      <left/>
      <right style="thin">
        <color auto="1"/>
      </right>
      <top style="thin">
        <color indexed="64"/>
      </top>
      <bottom/>
      <diagonal/>
    </border>
    <border>
      <left/>
      <right style="thin">
        <color theme="0" tint="-0.499984740745262"/>
      </right>
      <top/>
      <bottom style="medium">
        <color rgb="FF000000"/>
      </bottom>
      <diagonal/>
    </border>
    <border>
      <left style="thin">
        <color rgb="FF000000"/>
      </left>
      <right/>
      <top/>
      <bottom style="medium">
        <color rgb="FF000000"/>
      </bottom>
      <diagonal/>
    </border>
    <border>
      <left style="thin">
        <color rgb="FF000000"/>
      </left>
      <right style="thin">
        <color theme="0" tint="-0.499984740745262"/>
      </right>
      <top style="thin">
        <color rgb="FF000000"/>
      </top>
      <bottom style="thin">
        <color rgb="FF000000"/>
      </bottom>
      <diagonal/>
    </border>
    <border>
      <left style="thin">
        <color rgb="FF000000"/>
      </left>
      <right/>
      <top/>
      <bottom style="medium">
        <color indexed="64"/>
      </bottom>
      <diagonal/>
    </border>
    <border>
      <left style="thin">
        <color rgb="FF808080"/>
      </left>
      <right style="thin">
        <color rgb="FF808080"/>
      </right>
      <top/>
      <bottom/>
      <diagonal/>
    </border>
    <border>
      <left style="thin">
        <color rgb="FF808080"/>
      </left>
      <right style="thin">
        <color rgb="FF80808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right style="thin">
        <color rgb="FF808080"/>
      </right>
      <top/>
      <bottom style="medium">
        <color rgb="FF000000"/>
      </bottom>
      <diagonal/>
    </border>
    <border>
      <left style="thin">
        <color theme="0" tint="-0.499984740745262"/>
      </left>
      <right style="thin">
        <color rgb="FF000000"/>
      </right>
      <top/>
      <bottom/>
      <diagonal/>
    </border>
    <border>
      <left style="thin">
        <color theme="0" tint="-0.499984740745262"/>
      </left>
      <right style="thin">
        <color rgb="FF000000"/>
      </right>
      <top/>
      <bottom style="medium">
        <color rgb="FF000000"/>
      </bottom>
      <diagonal/>
    </border>
    <border>
      <left style="thin">
        <color indexed="64"/>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rgb="FF000000"/>
      </top>
      <bottom style="medium">
        <color indexed="64"/>
      </bottom>
      <diagonal/>
    </border>
    <border>
      <left/>
      <right/>
      <top style="thin">
        <color rgb="FF000000"/>
      </top>
      <bottom style="medium">
        <color indexed="64"/>
      </bottom>
      <diagonal/>
    </border>
    <border>
      <left style="thin">
        <color theme="0" tint="-0.499984740745262"/>
      </left>
      <right/>
      <top/>
      <bottom style="medium">
        <color rgb="FF000000"/>
      </bottom>
      <diagonal/>
    </border>
    <border>
      <left/>
      <right style="thin">
        <color rgb="FF000000"/>
      </right>
      <top/>
      <bottom style="thin">
        <color auto="1"/>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indexed="64"/>
      </right>
      <top style="thin">
        <color indexed="64"/>
      </top>
      <bottom/>
      <diagonal/>
    </border>
    <border>
      <left style="thin">
        <color indexed="64"/>
      </left>
      <right/>
      <top/>
      <bottom style="thin">
        <color rgb="FF000000"/>
      </bottom>
      <diagonal/>
    </border>
    <border>
      <left/>
      <right style="thin">
        <color indexed="64"/>
      </right>
      <top/>
      <bottom style="thin">
        <color rgb="FF000000"/>
      </bottom>
      <diagonal/>
    </border>
  </borders>
  <cellStyleXfs count="51">
    <xf numFmtId="0" fontId="0" fillId="0" borderId="0"/>
    <xf numFmtId="0" fontId="4" fillId="0" borderId="0"/>
    <xf numFmtId="0" fontId="9" fillId="0" borderId="0" applyNumberFormat="0" applyFill="0" applyBorder="0" applyAlignment="0" applyProtection="0"/>
    <xf numFmtId="9" fontId="4" fillId="0" borderId="0" applyFont="0" applyFill="0" applyBorder="0" applyAlignment="0" applyProtection="0"/>
    <xf numFmtId="0" fontId="11" fillId="0" borderId="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3"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7"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9"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1"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7" fillId="18" borderId="7" applyNumberFormat="0" applyAlignment="0" applyProtection="0"/>
    <xf numFmtId="0" fontId="18" fillId="19" borderId="8" applyNumberFormat="0" applyAlignment="0" applyProtection="0"/>
    <xf numFmtId="43" fontId="12" fillId="0" borderId="0" applyFont="0" applyFill="0" applyBorder="0" applyAlignment="0" applyProtection="0"/>
    <xf numFmtId="0" fontId="20" fillId="0" borderId="0" applyNumberFormat="0" applyFill="0" applyBorder="0" applyAlignment="0" applyProtection="0"/>
    <xf numFmtId="0" fontId="21" fillId="20" borderId="0" applyNumberFormat="0" applyBorder="0" applyAlignment="0" applyProtection="0"/>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36" fillId="0" borderId="0" applyNumberFormat="0" applyFill="0" applyBorder="0" applyAlignment="0" applyProtection="0">
      <alignment vertical="top"/>
      <protection locked="0"/>
    </xf>
    <xf numFmtId="0" fontId="25" fillId="12" borderId="7" applyNumberFormat="0" applyAlignment="0" applyProtection="0"/>
    <xf numFmtId="0" fontId="26" fillId="0" borderId="12" applyNumberFormat="0" applyFill="0" applyAlignment="0" applyProtection="0"/>
    <xf numFmtId="0" fontId="27" fillId="6" borderId="0" applyNumberFormat="0" applyBorder="0" applyAlignment="0" applyProtection="0"/>
    <xf numFmtId="0" fontId="19" fillId="6" borderId="13" applyNumberFormat="0" applyFont="0" applyAlignment="0" applyProtection="0"/>
    <xf numFmtId="0" fontId="28" fillId="18" borderId="14" applyNumberFormat="0" applyAlignment="0" applyProtection="0"/>
    <xf numFmtId="0" fontId="29" fillId="0" borderId="0" applyNumberFormat="0" applyFill="0" applyBorder="0" applyAlignment="0" applyProtection="0"/>
    <xf numFmtId="0" fontId="30" fillId="0" borderId="15" applyNumberFormat="0" applyFill="0" applyAlignment="0" applyProtection="0"/>
    <xf numFmtId="0" fontId="31" fillId="0" borderId="0" applyNumberFormat="0" applyFill="0" applyBorder="0" applyAlignment="0" applyProtection="0"/>
    <xf numFmtId="44" fontId="4" fillId="0" borderId="0" applyFont="0" applyFill="0" applyBorder="0" applyAlignment="0" applyProtection="0"/>
    <xf numFmtId="14" fontId="42" fillId="0" borderId="0" applyFont="0" applyFill="0" applyBorder="0" applyAlignment="0">
      <alignment vertical="center"/>
    </xf>
    <xf numFmtId="43" fontId="4" fillId="0" borderId="0" applyFont="0" applyFill="0" applyBorder="0" applyAlignment="0" applyProtection="0"/>
  </cellStyleXfs>
  <cellXfs count="962">
    <xf numFmtId="0" fontId="0" fillId="0" borderId="0" xfId="0"/>
    <xf numFmtId="0" fontId="0" fillId="0" borderId="0" xfId="0" applyAlignment="1">
      <alignment horizontal="center"/>
    </xf>
    <xf numFmtId="0" fontId="6" fillId="0" borderId="0" xfId="0" applyFont="1"/>
    <xf numFmtId="0" fontId="8" fillId="0" borderId="0" xfId="0" applyFont="1"/>
    <xf numFmtId="0" fontId="0" fillId="0" borderId="2" xfId="0" applyBorder="1"/>
    <xf numFmtId="0" fontId="0" fillId="0" borderId="6" xfId="0" applyBorder="1"/>
    <xf numFmtId="0" fontId="0" fillId="0" borderId="0" xfId="0" applyAlignment="1">
      <alignment horizontal="right"/>
    </xf>
    <xf numFmtId="164" fontId="0" fillId="0" borderId="0" xfId="0" applyNumberFormat="1"/>
    <xf numFmtId="0" fontId="0" fillId="0" borderId="2" xfId="0" applyBorder="1" applyAlignment="1">
      <alignment horizontal="center"/>
    </xf>
    <xf numFmtId="0" fontId="13" fillId="0" borderId="0" xfId="4" applyFont="1" applyAlignment="1" applyProtection="1">
      <alignment vertical="center"/>
      <protection locked="0"/>
    </xf>
    <xf numFmtId="0" fontId="33" fillId="0" borderId="0" xfId="4" applyFont="1" applyAlignment="1" applyProtection="1">
      <alignment vertical="center"/>
      <protection locked="0"/>
    </xf>
    <xf numFmtId="1" fontId="0" fillId="0" borderId="2" xfId="0" applyNumberFormat="1" applyBorder="1" applyAlignment="1">
      <alignment horizontal="left"/>
    </xf>
    <xf numFmtId="0" fontId="38" fillId="0" borderId="0" xfId="4" applyFont="1" applyProtection="1">
      <protection locked="0"/>
    </xf>
    <xf numFmtId="44" fontId="0" fillId="0" borderId="0" xfId="48" applyFont="1" applyBorder="1"/>
    <xf numFmtId="44" fontId="0" fillId="0" borderId="0" xfId="48" applyFont="1" applyBorder="1" applyAlignment="1">
      <alignment horizontal="right"/>
    </xf>
    <xf numFmtId="0" fontId="7" fillId="0" borderId="0" xfId="4" applyFont="1"/>
    <xf numFmtId="0" fontId="7" fillId="0" borderId="0" xfId="4" applyFont="1" applyAlignment="1">
      <alignment vertical="center"/>
    </xf>
    <xf numFmtId="44" fontId="7" fillId="0" borderId="32" xfId="48" applyFont="1" applyBorder="1" applyAlignment="1" applyProtection="1">
      <alignment vertical="center"/>
      <protection locked="0"/>
    </xf>
    <xf numFmtId="0" fontId="40" fillId="0" borderId="0" xfId="4" applyFont="1" applyAlignment="1">
      <alignment vertical="center"/>
    </xf>
    <xf numFmtId="0" fontId="41" fillId="0" borderId="0" xfId="4" applyFont="1" applyAlignment="1">
      <alignment horizontal="right" vertical="center"/>
    </xf>
    <xf numFmtId="0" fontId="35" fillId="23" borderId="26" xfId="4" applyFont="1" applyFill="1" applyBorder="1" applyAlignment="1">
      <alignment horizontal="center" vertical="center"/>
    </xf>
    <xf numFmtId="0" fontId="35" fillId="23" borderId="27" xfId="4" applyFont="1" applyFill="1" applyBorder="1" applyAlignment="1">
      <alignment horizontal="center" vertical="center"/>
    </xf>
    <xf numFmtId="0" fontId="35" fillId="0" borderId="34" xfId="4" applyFont="1" applyBorder="1" applyAlignment="1">
      <alignment horizontal="center" vertical="center"/>
    </xf>
    <xf numFmtId="0" fontId="7" fillId="0" borderId="0" xfId="4" applyFont="1" applyAlignment="1" applyProtection="1">
      <alignment vertical="center"/>
      <protection locked="0"/>
    </xf>
    <xf numFmtId="0" fontId="7" fillId="0" borderId="0" xfId="4" applyFont="1" applyAlignment="1" applyProtection="1">
      <alignment vertical="top"/>
      <protection locked="0"/>
    </xf>
    <xf numFmtId="0" fontId="7" fillId="0" borderId="28" xfId="4" applyFont="1" applyBorder="1" applyAlignment="1" applyProtection="1">
      <alignment vertical="center"/>
      <protection locked="0"/>
    </xf>
    <xf numFmtId="0" fontId="35" fillId="23" borderId="24" xfId="4" applyFont="1" applyFill="1" applyBorder="1" applyAlignment="1">
      <alignment horizontal="left" vertical="center" indent="1"/>
    </xf>
    <xf numFmtId="0" fontId="35" fillId="23" borderId="25" xfId="4" applyFont="1" applyFill="1" applyBorder="1" applyAlignment="1">
      <alignment horizontal="left" vertical="center" indent="1"/>
    </xf>
    <xf numFmtId="0" fontId="35" fillId="23" borderId="25" xfId="4" applyFont="1" applyFill="1" applyBorder="1" applyAlignment="1">
      <alignment vertical="center"/>
    </xf>
    <xf numFmtId="0" fontId="35" fillId="0" borderId="33" xfId="4" applyFont="1" applyBorder="1" applyAlignment="1">
      <alignment horizontal="left" vertical="center" indent="1"/>
    </xf>
    <xf numFmtId="0" fontId="35" fillId="0" borderId="33" xfId="4" applyFont="1" applyBorder="1" applyAlignment="1">
      <alignment vertical="center"/>
    </xf>
    <xf numFmtId="0" fontId="34" fillId="0" borderId="0" xfId="4" applyFont="1" applyAlignment="1">
      <alignment vertical="center"/>
    </xf>
    <xf numFmtId="0" fontId="7" fillId="0" borderId="0" xfId="4" applyFont="1" applyAlignment="1">
      <alignment vertical="top" wrapText="1"/>
    </xf>
    <xf numFmtId="0" fontId="35" fillId="0" borderId="35" xfId="4" applyFont="1" applyBorder="1" applyAlignment="1">
      <alignment horizontal="left" vertical="center"/>
    </xf>
    <xf numFmtId="0" fontId="35" fillId="0" borderId="36" xfId="4" applyFont="1" applyBorder="1" applyAlignment="1">
      <alignment horizontal="center" vertical="center"/>
    </xf>
    <xf numFmtId="0" fontId="7" fillId="0" borderId="2" xfId="4" applyFont="1" applyBorder="1" applyAlignment="1" applyProtection="1">
      <alignment horizontal="left" vertical="center" indent="1"/>
      <protection locked="0"/>
    </xf>
    <xf numFmtId="44" fontId="7" fillId="0" borderId="37" xfId="48" applyFont="1" applyBorder="1" applyAlignment="1" applyProtection="1">
      <alignment vertical="center"/>
    </xf>
    <xf numFmtId="0" fontId="7" fillId="0" borderId="2" xfId="4" applyFont="1" applyBorder="1" applyAlignment="1" applyProtection="1">
      <alignment vertical="center"/>
      <protection locked="0"/>
    </xf>
    <xf numFmtId="0" fontId="35" fillId="0" borderId="38" xfId="4" applyFont="1" applyBorder="1" applyAlignment="1" applyProtection="1">
      <alignment vertical="center"/>
      <protection locked="0"/>
    </xf>
    <xf numFmtId="44" fontId="7" fillId="0" borderId="39" xfId="48" applyFont="1" applyBorder="1" applyAlignment="1" applyProtection="1">
      <alignment vertical="center"/>
    </xf>
    <xf numFmtId="0" fontId="34" fillId="0" borderId="29" xfId="4" applyFont="1" applyBorder="1" applyAlignment="1">
      <alignment vertical="center"/>
    </xf>
    <xf numFmtId="0" fontId="34" fillId="0" borderId="30" xfId="4" applyFont="1" applyBorder="1" applyAlignment="1">
      <alignment vertical="center"/>
    </xf>
    <xf numFmtId="0" fontId="35" fillId="23" borderId="43" xfId="4" applyFont="1" applyFill="1" applyBorder="1" applyAlignment="1">
      <alignment horizontal="center" vertical="center"/>
    </xf>
    <xf numFmtId="14" fontId="7" fillId="0" borderId="45" xfId="4" applyNumberFormat="1" applyFont="1" applyBorder="1" applyAlignment="1">
      <alignment horizontal="center" vertical="center"/>
    </xf>
    <xf numFmtId="0" fontId="35" fillId="23" borderId="45" xfId="4" applyFont="1" applyFill="1" applyBorder="1" applyAlignment="1">
      <alignment horizontal="center" vertical="center"/>
    </xf>
    <xf numFmtId="14" fontId="7" fillId="0" borderId="46" xfId="4" applyNumberFormat="1" applyFont="1" applyBorder="1" applyAlignment="1">
      <alignment horizontal="center" vertical="center"/>
    </xf>
    <xf numFmtId="0" fontId="39" fillId="0" borderId="0" xfId="0" applyFont="1"/>
    <xf numFmtId="9" fontId="39" fillId="22" borderId="0" xfId="3" applyFont="1" applyFill="1" applyBorder="1"/>
    <xf numFmtId="0" fontId="39" fillId="0" borderId="0" xfId="0" applyFont="1" applyAlignment="1">
      <alignment horizontal="center"/>
    </xf>
    <xf numFmtId="10" fontId="0" fillId="0" borderId="0" xfId="0" applyNumberFormat="1" applyAlignment="1">
      <alignment horizontal="left"/>
    </xf>
    <xf numFmtId="0" fontId="0" fillId="22" borderId="0" xfId="0" applyFill="1"/>
    <xf numFmtId="44" fontId="0" fillId="0" borderId="0" xfId="0" applyNumberFormat="1"/>
    <xf numFmtId="14" fontId="0" fillId="0" borderId="2" xfId="0" applyNumberFormat="1" applyBorder="1" applyAlignment="1">
      <alignment horizontal="left"/>
    </xf>
    <xf numFmtId="0" fontId="0" fillId="0" borderId="0" xfId="0" applyAlignment="1">
      <alignment horizontal="left"/>
    </xf>
    <xf numFmtId="44" fontId="0" fillId="0" borderId="0" xfId="0" applyNumberFormat="1" applyAlignment="1">
      <alignment horizontal="center"/>
    </xf>
    <xf numFmtId="0" fontId="0" fillId="0" borderId="0" xfId="0" applyAlignment="1">
      <alignment horizontal="left" wrapText="1"/>
    </xf>
    <xf numFmtId="44" fontId="7" fillId="0" borderId="18" xfId="48" applyFont="1" applyBorder="1" applyAlignment="1" applyProtection="1">
      <alignment vertical="center"/>
    </xf>
    <xf numFmtId="165" fontId="0" fillId="0" borderId="0" xfId="0" applyNumberFormat="1"/>
    <xf numFmtId="7" fontId="0" fillId="0" borderId="0" xfId="48" applyNumberFormat="1" applyFont="1" applyBorder="1"/>
    <xf numFmtId="7" fontId="0" fillId="0" borderId="0" xfId="48" applyNumberFormat="1" applyFont="1" applyFill="1" applyBorder="1"/>
    <xf numFmtId="0" fontId="43" fillId="0" borderId="34" xfId="4" applyFont="1" applyBorder="1" applyAlignment="1">
      <alignment horizontal="center" vertical="center"/>
    </xf>
    <xf numFmtId="14" fontId="0" fillId="0" borderId="0" xfId="0" applyNumberFormat="1"/>
    <xf numFmtId="44" fontId="0" fillId="2" borderId="1" xfId="0" applyNumberFormat="1" applyFill="1" applyBorder="1"/>
    <xf numFmtId="0" fontId="45" fillId="0" borderId="0" xfId="0" applyFont="1" applyAlignment="1">
      <alignment horizontal="left" vertical="center"/>
    </xf>
    <xf numFmtId="0" fontId="46" fillId="0" borderId="0" xfId="0" applyFont="1" applyAlignment="1">
      <alignment vertical="center"/>
    </xf>
    <xf numFmtId="0" fontId="48" fillId="0" borderId="0" xfId="0" applyFont="1"/>
    <xf numFmtId="0" fontId="49" fillId="0" borderId="0" xfId="0" applyFont="1" applyAlignment="1">
      <alignment vertical="center"/>
    </xf>
    <xf numFmtId="0" fontId="6" fillId="0" borderId="0" xfId="0" applyFont="1" applyAlignment="1">
      <alignment vertical="center"/>
    </xf>
    <xf numFmtId="0" fontId="50" fillId="0" borderId="47" xfId="0" applyFont="1" applyBorder="1" applyAlignment="1">
      <alignment horizontal="right" vertical="center"/>
    </xf>
    <xf numFmtId="166" fontId="6" fillId="0" borderId="48" xfId="0" applyNumberFormat="1" applyFont="1" applyBorder="1" applyAlignment="1">
      <alignment horizontal="right" vertical="center"/>
    </xf>
    <xf numFmtId="0" fontId="6" fillId="0" borderId="48" xfId="0" applyFont="1" applyBorder="1" applyAlignment="1">
      <alignment horizontal="right" vertical="center"/>
    </xf>
    <xf numFmtId="0" fontId="50" fillId="0" borderId="47" xfId="0" applyFont="1" applyBorder="1" applyAlignment="1">
      <alignment vertical="center"/>
    </xf>
    <xf numFmtId="0" fontId="6" fillId="0" borderId="47" xfId="0" applyFont="1" applyBorder="1" applyAlignment="1">
      <alignment vertical="center"/>
    </xf>
    <xf numFmtId="0" fontId="51" fillId="0" borderId="0" xfId="0" applyFont="1" applyAlignment="1">
      <alignment vertical="center"/>
    </xf>
    <xf numFmtId="0" fontId="51" fillId="0" borderId="0" xfId="0" applyFont="1"/>
    <xf numFmtId="0" fontId="52" fillId="0" borderId="0" xfId="0" applyFont="1"/>
    <xf numFmtId="0" fontId="50" fillId="0" borderId="0" xfId="0" applyFont="1" applyAlignment="1">
      <alignment horizontal="center" vertical="center"/>
    </xf>
    <xf numFmtId="0" fontId="6" fillId="0" borderId="49" xfId="0" applyFont="1" applyBorder="1" applyAlignment="1">
      <alignment horizontal="center" vertical="center"/>
    </xf>
    <xf numFmtId="166" fontId="6" fillId="0" borderId="49" xfId="0" applyNumberFormat="1" applyFont="1" applyBorder="1" applyAlignment="1">
      <alignment horizontal="center" vertical="center"/>
    </xf>
    <xf numFmtId="0" fontId="50" fillId="0" borderId="47" xfId="0" applyFont="1" applyBorder="1" applyAlignment="1">
      <alignment horizontal="center" vertical="center"/>
    </xf>
    <xf numFmtId="0" fontId="6" fillId="0" borderId="50" xfId="0" applyFont="1" applyBorder="1" applyAlignment="1">
      <alignment vertical="center"/>
    </xf>
    <xf numFmtId="0" fontId="6" fillId="0" borderId="50" xfId="0" applyFont="1" applyBorder="1" applyAlignment="1">
      <alignment vertical="center" wrapText="1"/>
    </xf>
    <xf numFmtId="0" fontId="6" fillId="0" borderId="50" xfId="0" applyFont="1" applyBorder="1" applyAlignment="1">
      <alignment horizontal="center" vertical="center"/>
    </xf>
    <xf numFmtId="164" fontId="6" fillId="0" borderId="50" xfId="0" applyNumberFormat="1" applyFont="1" applyBorder="1" applyAlignment="1">
      <alignment vertical="center"/>
    </xf>
    <xf numFmtId="164" fontId="6" fillId="0" borderId="51" xfId="0" applyNumberFormat="1" applyFont="1" applyBorder="1" applyAlignment="1">
      <alignment vertical="center"/>
    </xf>
    <xf numFmtId="0" fontId="50" fillId="0" borderId="0" xfId="0" applyFont="1" applyAlignment="1">
      <alignment horizontal="right" vertical="center"/>
    </xf>
    <xf numFmtId="2" fontId="6" fillId="0" borderId="52" xfId="0" applyNumberFormat="1" applyFont="1" applyBorder="1" applyAlignment="1">
      <alignment vertical="center"/>
    </xf>
    <xf numFmtId="167" fontId="50" fillId="25" borderId="52" xfId="48" applyNumberFormat="1" applyFont="1" applyFill="1" applyBorder="1" applyAlignment="1">
      <alignment vertical="center"/>
    </xf>
    <xf numFmtId="0" fontId="6" fillId="0" borderId="0" xfId="0" applyFont="1" applyAlignment="1">
      <alignment horizontal="center"/>
    </xf>
    <xf numFmtId="0" fontId="53" fillId="0" borderId="0" xfId="0" applyFont="1"/>
    <xf numFmtId="0" fontId="5" fillId="0" borderId="50" xfId="0" applyFont="1" applyBorder="1" applyAlignment="1">
      <alignment horizontal="center" vertical="center"/>
    </xf>
    <xf numFmtId="0" fontId="5" fillId="0" borderId="0" xfId="0" applyFont="1" applyAlignment="1">
      <alignment horizontal="center" vertical="center"/>
    </xf>
    <xf numFmtId="166" fontId="6" fillId="0" borderId="0" xfId="0" applyNumberFormat="1" applyFont="1" applyAlignment="1">
      <alignment horizontal="left" vertical="center"/>
    </xf>
    <xf numFmtId="0" fontId="6" fillId="0" borderId="0" xfId="0" applyFont="1" applyAlignment="1">
      <alignment horizontal="right"/>
    </xf>
    <xf numFmtId="14" fontId="54" fillId="0" borderId="47" xfId="0" applyNumberFormat="1" applyFont="1" applyBorder="1" applyAlignment="1">
      <alignment horizontal="center" vertical="center"/>
    </xf>
    <xf numFmtId="2" fontId="6" fillId="0" borderId="47" xfId="0" applyNumberFormat="1" applyFont="1" applyBorder="1" applyAlignment="1">
      <alignment vertical="center"/>
    </xf>
    <xf numFmtId="164" fontId="6" fillId="0" borderId="0" xfId="0" applyNumberFormat="1" applyFont="1" applyAlignment="1">
      <alignment vertical="center"/>
    </xf>
    <xf numFmtId="168" fontId="6" fillId="0" borderId="48" xfId="0" applyNumberFormat="1" applyFont="1" applyBorder="1" applyAlignment="1">
      <alignment horizontal="right" vertical="center"/>
    </xf>
    <xf numFmtId="168" fontId="52" fillId="0" borderId="0" xfId="0" applyNumberFormat="1" applyFont="1"/>
    <xf numFmtId="0" fontId="0" fillId="26" borderId="0" xfId="0" applyFill="1"/>
    <xf numFmtId="0" fontId="0" fillId="27" borderId="0" xfId="0" applyFill="1"/>
    <xf numFmtId="0" fontId="0" fillId="0" borderId="0" xfId="0" applyAlignment="1">
      <alignment wrapText="1"/>
    </xf>
    <xf numFmtId="39" fontId="0" fillId="0" borderId="0" xfId="48" applyNumberFormat="1" applyFont="1" applyBorder="1"/>
    <xf numFmtId="0" fontId="44" fillId="0" borderId="18" xfId="4" applyFont="1" applyBorder="1" applyAlignment="1" applyProtection="1">
      <alignment horizontal="center" vertical="center"/>
      <protection locked="0"/>
    </xf>
    <xf numFmtId="44" fontId="35" fillId="0" borderId="37" xfId="48" applyFont="1" applyBorder="1" applyAlignment="1" applyProtection="1">
      <alignment vertical="center"/>
    </xf>
    <xf numFmtId="0" fontId="43" fillId="0" borderId="18" xfId="4" applyFont="1" applyBorder="1" applyAlignment="1" applyProtection="1">
      <alignment horizontal="center" vertical="center"/>
      <protection locked="0"/>
    </xf>
    <xf numFmtId="0" fontId="0" fillId="28" borderId="0" xfId="0" applyFill="1"/>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vertical="center"/>
    </xf>
    <xf numFmtId="14" fontId="0" fillId="0" borderId="0" xfId="0" applyNumberFormat="1" applyAlignment="1">
      <alignment horizontal="left" vertical="center"/>
    </xf>
    <xf numFmtId="0" fontId="39" fillId="0" borderId="28" xfId="0" applyFont="1" applyBorder="1" applyAlignment="1">
      <alignment horizontal="center"/>
    </xf>
    <xf numFmtId="0" fontId="39" fillId="0" borderId="28" xfId="0" applyFont="1" applyBorder="1" applyAlignment="1">
      <alignment horizontal="left"/>
    </xf>
    <xf numFmtId="0" fontId="39" fillId="0" borderId="28" xfId="0" applyFont="1" applyBorder="1" applyAlignment="1">
      <alignment horizontal="center" vertical="center" wrapText="1"/>
    </xf>
    <xf numFmtId="43" fontId="39" fillId="0" borderId="28" xfId="50" applyFont="1" applyBorder="1" applyAlignment="1">
      <alignment horizontal="center" vertical="center" wrapText="1"/>
    </xf>
    <xf numFmtId="0" fontId="39" fillId="0" borderId="0" xfId="0" applyFont="1" applyAlignment="1">
      <alignment horizontal="right"/>
    </xf>
    <xf numFmtId="0" fontId="0" fillId="0" borderId="28" xfId="0" applyBorder="1"/>
    <xf numFmtId="164" fontId="0" fillId="0" borderId="0" xfId="48" applyNumberFormat="1" applyFont="1" applyAlignment="1">
      <alignment horizontal="left"/>
    </xf>
    <xf numFmtId="164" fontId="0" fillId="0" borderId="0" xfId="0" applyNumberFormat="1" applyAlignment="1">
      <alignment horizontal="right"/>
    </xf>
    <xf numFmtId="0" fontId="0" fillId="0" borderId="0" xfId="0" applyAlignment="1">
      <alignment horizontal="center" vertical="center"/>
    </xf>
    <xf numFmtId="0" fontId="0" fillId="0" borderId="0" xfId="0" applyAlignment="1" applyProtection="1">
      <alignment horizontal="center"/>
      <protection locked="0"/>
    </xf>
    <xf numFmtId="43" fontId="0" fillId="0" borderId="0" xfId="0" applyNumberFormat="1"/>
    <xf numFmtId="0" fontId="39" fillId="0" borderId="55" xfId="0" applyFont="1" applyBorder="1"/>
    <xf numFmtId="0" fontId="0" fillId="22" borderId="2" xfId="0" applyFill="1" applyBorder="1" applyAlignment="1">
      <alignment horizontal="center"/>
    </xf>
    <xf numFmtId="0" fontId="39" fillId="29" borderId="0" xfId="0" applyFont="1" applyFill="1" applyAlignment="1">
      <alignment horizontal="left" indent="1"/>
    </xf>
    <xf numFmtId="165" fontId="0" fillId="29" borderId="0" xfId="0" applyNumberFormat="1" applyFill="1"/>
    <xf numFmtId="14" fontId="39" fillId="0" borderId="0" xfId="0" applyNumberFormat="1" applyFont="1"/>
    <xf numFmtId="169" fontId="35" fillId="0" borderId="61" xfId="48" applyNumberFormat="1" applyFont="1" applyFill="1" applyBorder="1" applyAlignment="1">
      <alignment vertical="center"/>
    </xf>
    <xf numFmtId="169" fontId="35" fillId="21" borderId="59" xfId="4" applyNumberFormat="1" applyFont="1" applyFill="1" applyBorder="1" applyAlignment="1">
      <alignment vertical="center"/>
    </xf>
    <xf numFmtId="14" fontId="35" fillId="0" borderId="61" xfId="48" applyNumberFormat="1" applyFont="1" applyFill="1" applyBorder="1" applyAlignment="1">
      <alignment horizontal="right" vertical="center"/>
    </xf>
    <xf numFmtId="0" fontId="39" fillId="0" borderId="55" xfId="0" applyFont="1" applyBorder="1" applyAlignment="1">
      <alignment horizontal="center"/>
    </xf>
    <xf numFmtId="169" fontId="0" fillId="0" borderId="0" xfId="0" applyNumberFormat="1"/>
    <xf numFmtId="0" fontId="56" fillId="0" borderId="28" xfId="0" applyFont="1" applyBorder="1"/>
    <xf numFmtId="8" fontId="51" fillId="0" borderId="0" xfId="0" applyNumberFormat="1" applyFont="1"/>
    <xf numFmtId="10" fontId="51" fillId="0" borderId="0" xfId="0" applyNumberFormat="1" applyFont="1"/>
    <xf numFmtId="10" fontId="57" fillId="30" borderId="0" xfId="0" applyNumberFormat="1" applyFont="1" applyFill="1"/>
    <xf numFmtId="0" fontId="56" fillId="0" borderId="0" xfId="0" applyFont="1"/>
    <xf numFmtId="44" fontId="51" fillId="0" borderId="0" xfId="0" applyNumberFormat="1" applyFont="1"/>
    <xf numFmtId="9" fontId="39" fillId="0" borderId="0" xfId="0" applyNumberFormat="1" applyFont="1"/>
    <xf numFmtId="10" fontId="51" fillId="31" borderId="0" xfId="0" applyNumberFormat="1" applyFont="1" applyFill="1"/>
    <xf numFmtId="169" fontId="56" fillId="0" borderId="0" xfId="0" applyNumberFormat="1" applyFont="1"/>
    <xf numFmtId="0" fontId="60" fillId="0" borderId="0" xfId="0" applyFont="1"/>
    <xf numFmtId="0" fontId="9" fillId="0" borderId="0" xfId="2" applyFill="1"/>
    <xf numFmtId="0" fontId="60" fillId="28" borderId="0" xfId="2" applyFont="1" applyFill="1"/>
    <xf numFmtId="0" fontId="60" fillId="0" borderId="0" xfId="2" applyFont="1" applyFill="1"/>
    <xf numFmtId="0" fontId="39" fillId="0" borderId="65" xfId="0" applyFont="1" applyBorder="1" applyAlignment="1">
      <alignment horizontal="left" indent="1"/>
    </xf>
    <xf numFmtId="44" fontId="7" fillId="22" borderId="72" xfId="48" applyFont="1" applyFill="1" applyBorder="1" applyAlignment="1">
      <alignment horizontal="left"/>
    </xf>
    <xf numFmtId="0" fontId="39" fillId="0" borderId="0" xfId="0" applyFont="1" applyAlignment="1">
      <alignment wrapText="1"/>
    </xf>
    <xf numFmtId="0" fontId="60" fillId="0" borderId="0" xfId="2" applyFont="1" applyFill="1" applyAlignment="1">
      <alignment horizontal="left"/>
    </xf>
    <xf numFmtId="44" fontId="35" fillId="0" borderId="61" xfId="48" applyFont="1" applyFill="1" applyBorder="1" applyAlignment="1">
      <alignment horizontal="right" vertical="center"/>
    </xf>
    <xf numFmtId="0" fontId="44" fillId="0" borderId="53" xfId="4" applyFont="1" applyBorder="1" applyAlignment="1" applyProtection="1">
      <alignment horizontal="center" vertical="center"/>
      <protection locked="0"/>
    </xf>
    <xf numFmtId="0" fontId="7" fillId="0" borderId="2" xfId="4" applyFont="1" applyBorder="1" applyAlignment="1" applyProtection="1">
      <alignment vertical="center" indent="1"/>
      <protection locked="0"/>
    </xf>
    <xf numFmtId="0" fontId="44" fillId="0" borderId="74" xfId="4" applyFont="1" applyBorder="1" applyAlignment="1" applyProtection="1">
      <alignment horizontal="center" vertical="center"/>
      <protection locked="0"/>
    </xf>
    <xf numFmtId="0" fontId="44" fillId="0" borderId="77" xfId="4" applyFont="1" applyBorder="1" applyAlignment="1" applyProtection="1">
      <alignment horizontal="center" vertical="center"/>
      <protection locked="0"/>
    </xf>
    <xf numFmtId="0" fontId="62" fillId="0" borderId="0" xfId="4" applyFont="1"/>
    <xf numFmtId="0" fontId="60" fillId="0" borderId="0" xfId="4" applyFont="1" applyAlignment="1">
      <alignment vertical="center"/>
    </xf>
    <xf numFmtId="0" fontId="60" fillId="0" borderId="0" xfId="4" applyFont="1"/>
    <xf numFmtId="0" fontId="59" fillId="23" borderId="26" xfId="4" applyFont="1" applyFill="1" applyBorder="1" applyAlignment="1">
      <alignment horizontal="center" vertical="center"/>
    </xf>
    <xf numFmtId="0" fontId="60" fillId="0" borderId="0" xfId="4" applyFont="1" applyAlignment="1">
      <alignment vertical="top" wrapText="1"/>
    </xf>
    <xf numFmtId="0" fontId="35" fillId="0" borderId="0" xfId="4" applyFont="1" applyAlignment="1" applyProtection="1">
      <alignment horizontal="left" vertical="center"/>
      <protection locked="0"/>
    </xf>
    <xf numFmtId="44" fontId="7" fillId="0" borderId="76" xfId="48" applyFont="1" applyBorder="1" applyAlignment="1" applyProtection="1">
      <alignment vertical="center"/>
    </xf>
    <xf numFmtId="0" fontId="35" fillId="0" borderId="0" xfId="4" applyFont="1" applyAlignment="1">
      <alignment horizontal="left"/>
    </xf>
    <xf numFmtId="0" fontId="63" fillId="0" borderId="40" xfId="4" applyFont="1" applyBorder="1" applyAlignment="1">
      <alignment vertical="center"/>
    </xf>
    <xf numFmtId="0" fontId="7" fillId="0" borderId="2" xfId="4" applyFont="1" applyBorder="1" applyAlignment="1" applyProtection="1">
      <alignment horizontal="left" vertical="center" indent="2"/>
      <protection locked="0"/>
    </xf>
    <xf numFmtId="167" fontId="7" fillId="0" borderId="18" xfId="48" applyNumberFormat="1" applyFont="1" applyFill="1" applyBorder="1" applyAlignment="1" applyProtection="1">
      <protection locked="0"/>
    </xf>
    <xf numFmtId="167" fontId="7" fillId="0" borderId="37" xfId="48" applyNumberFormat="1" applyFont="1" applyBorder="1" applyAlignment="1" applyProtection="1"/>
    <xf numFmtId="167" fontId="35" fillId="0" borderId="18" xfId="48" applyNumberFormat="1" applyFont="1" applyFill="1" applyBorder="1" applyAlignment="1" applyProtection="1">
      <protection locked="0"/>
    </xf>
    <xf numFmtId="167" fontId="35" fillId="0" borderId="37" xfId="48" applyNumberFormat="1" applyFont="1" applyBorder="1" applyAlignment="1" applyProtection="1">
      <alignment horizontal="right"/>
    </xf>
    <xf numFmtId="0" fontId="0" fillId="22" borderId="0" xfId="0" applyFill="1" applyAlignment="1">
      <alignment horizontal="center"/>
    </xf>
    <xf numFmtId="0" fontId="35" fillId="0" borderId="2" xfId="4" applyFont="1" applyBorder="1" applyAlignment="1" applyProtection="1">
      <alignment horizontal="left" vertical="center" indent="1"/>
      <protection locked="0"/>
    </xf>
    <xf numFmtId="0" fontId="35" fillId="0" borderId="2" xfId="4" applyFont="1" applyBorder="1" applyAlignment="1" applyProtection="1">
      <alignment horizontal="left" vertical="center" indent="2"/>
      <protection locked="0"/>
    </xf>
    <xf numFmtId="0" fontId="7" fillId="0" borderId="0" xfId="4" applyFont="1" applyAlignment="1" applyProtection="1">
      <alignment horizontal="left" vertical="center" indent="1"/>
      <protection locked="0"/>
    </xf>
    <xf numFmtId="0" fontId="7" fillId="0" borderId="55" xfId="4" applyFont="1" applyBorder="1" applyAlignment="1" applyProtection="1">
      <alignment horizontal="left" vertical="center" wrapText="1" indent="3"/>
      <protection locked="0"/>
    </xf>
    <xf numFmtId="44" fontId="7" fillId="0" borderId="75" xfId="48" applyFont="1" applyBorder="1" applyAlignment="1" applyProtection="1">
      <alignment vertical="center"/>
    </xf>
    <xf numFmtId="0" fontId="39" fillId="33" borderId="0" xfId="0" applyFont="1" applyFill="1" applyAlignment="1">
      <alignment horizontal="left"/>
    </xf>
    <xf numFmtId="0" fontId="39" fillId="29" borderId="55" xfId="0" applyFont="1" applyFill="1" applyBorder="1" applyAlignment="1">
      <alignment horizontal="left" indent="1"/>
    </xf>
    <xf numFmtId="165" fontId="0" fillId="29" borderId="55" xfId="0" applyNumberFormat="1" applyFill="1" applyBorder="1"/>
    <xf numFmtId="0" fontId="51" fillId="0" borderId="55" xfId="0" applyFont="1" applyBorder="1"/>
    <xf numFmtId="44" fontId="39" fillId="33" borderId="0" xfId="0" applyNumberFormat="1" applyFont="1" applyFill="1"/>
    <xf numFmtId="44" fontId="35" fillId="0" borderId="61" xfId="48" applyFont="1" applyFill="1" applyBorder="1" applyAlignment="1">
      <alignment horizontal="center" vertical="center"/>
    </xf>
    <xf numFmtId="0" fontId="39" fillId="0" borderId="0" xfId="0" applyFont="1" applyAlignment="1">
      <alignment horizontal="left"/>
    </xf>
    <xf numFmtId="0" fontId="0" fillId="28" borderId="0" xfId="0" applyFill="1" applyAlignment="1">
      <alignment horizontal="left" wrapText="1"/>
    </xf>
    <xf numFmtId="0" fontId="0" fillId="28" borderId="0" xfId="0" applyFill="1" applyAlignment="1">
      <alignment horizontal="left"/>
    </xf>
    <xf numFmtId="0" fontId="6" fillId="0" borderId="2" xfId="0" applyFont="1" applyBorder="1" applyAlignment="1">
      <alignment vertical="top" wrapText="1"/>
    </xf>
    <xf numFmtId="0" fontId="6" fillId="0" borderId="0" xfId="0" applyFont="1" applyAlignment="1">
      <alignment vertical="top" wrapText="1"/>
    </xf>
    <xf numFmtId="44" fontId="0" fillId="0" borderId="0" xfId="48" applyFont="1" applyFill="1" applyBorder="1"/>
    <xf numFmtId="39" fontId="0" fillId="0" borderId="0" xfId="48" applyNumberFormat="1" applyFont="1" applyFill="1" applyBorder="1"/>
    <xf numFmtId="0" fontId="0" fillId="0" borderId="55" xfId="0" applyBorder="1"/>
    <xf numFmtId="44" fontId="0" fillId="0" borderId="55" xfId="48" applyFont="1" applyFill="1" applyBorder="1"/>
    <xf numFmtId="39" fontId="0" fillId="0" borderId="55" xfId="48" applyNumberFormat="1" applyFont="1" applyFill="1" applyBorder="1"/>
    <xf numFmtId="0" fontId="0" fillId="0" borderId="55" xfId="0" applyBorder="1" applyAlignment="1">
      <alignment horizontal="center" vertical="center"/>
    </xf>
    <xf numFmtId="0" fontId="0" fillId="0" borderId="55" xfId="0" applyBorder="1" applyAlignment="1">
      <alignment horizontal="center"/>
    </xf>
    <xf numFmtId="44" fontId="66" fillId="0" borderId="0" xfId="48" applyFont="1" applyBorder="1" applyAlignment="1">
      <alignment horizontal="right"/>
    </xf>
    <xf numFmtId="39" fontId="66" fillId="0" borderId="0" xfId="48" applyNumberFormat="1" applyFont="1" applyBorder="1"/>
    <xf numFmtId="44" fontId="0" fillId="0" borderId="55" xfId="48" applyFont="1" applyBorder="1"/>
    <xf numFmtId="39" fontId="0" fillId="0" borderId="55" xfId="48" applyNumberFormat="1" applyFont="1" applyBorder="1"/>
    <xf numFmtId="44" fontId="66" fillId="0" borderId="0" xfId="48" applyFont="1" applyBorder="1"/>
    <xf numFmtId="44" fontId="66" fillId="0" borderId="0" xfId="48" applyFont="1" applyFill="1" applyBorder="1"/>
    <xf numFmtId="167" fontId="7" fillId="0" borderId="0" xfId="48" applyNumberFormat="1" applyFont="1" applyFill="1" applyBorder="1" applyAlignment="1" applyProtection="1">
      <protection locked="0"/>
    </xf>
    <xf numFmtId="167" fontId="35" fillId="0" borderId="0" xfId="48" applyNumberFormat="1" applyFont="1" applyFill="1" applyBorder="1" applyAlignment="1" applyProtection="1">
      <protection locked="0"/>
    </xf>
    <xf numFmtId="0" fontId="35" fillId="0" borderId="80" xfId="4" applyFont="1" applyBorder="1" applyAlignment="1">
      <alignment vertical="center"/>
    </xf>
    <xf numFmtId="0" fontId="43" fillId="0" borderId="81" xfId="4" applyFont="1" applyBorder="1" applyAlignment="1">
      <alignment horizontal="center" vertical="center"/>
    </xf>
    <xf numFmtId="0" fontId="35" fillId="0" borderId="81" xfId="4" applyFont="1" applyBorder="1" applyAlignment="1">
      <alignment horizontal="center" vertical="center"/>
    </xf>
    <xf numFmtId="0" fontId="35" fillId="0" borderId="82" xfId="4" applyFont="1" applyBorder="1" applyAlignment="1">
      <alignment horizontal="center" vertical="center"/>
    </xf>
    <xf numFmtId="0" fontId="7" fillId="0" borderId="77" xfId="4" applyFont="1" applyBorder="1" applyAlignment="1" applyProtection="1">
      <alignment horizontal="center" vertical="center"/>
      <protection locked="0"/>
    </xf>
    <xf numFmtId="0" fontId="60" fillId="0" borderId="77" xfId="4" applyFont="1" applyBorder="1" applyAlignment="1" applyProtection="1">
      <alignment horizontal="center" vertical="center"/>
      <protection locked="0"/>
    </xf>
    <xf numFmtId="44" fontId="7" fillId="0" borderId="77" xfId="48" applyFont="1" applyBorder="1" applyAlignment="1" applyProtection="1">
      <alignment vertical="center"/>
    </xf>
    <xf numFmtId="44" fontId="35" fillId="0" borderId="77" xfId="48" applyFont="1" applyBorder="1" applyAlignment="1" applyProtection="1">
      <alignment vertical="center"/>
    </xf>
    <xf numFmtId="167" fontId="7" fillId="0" borderId="77" xfId="48" applyNumberFormat="1" applyFont="1" applyBorder="1" applyAlignment="1" applyProtection="1"/>
    <xf numFmtId="167" fontId="35" fillId="0" borderId="77" xfId="48" applyNumberFormat="1" applyFont="1" applyBorder="1" applyAlignment="1" applyProtection="1">
      <alignment horizontal="right"/>
    </xf>
    <xf numFmtId="44" fontId="7" fillId="0" borderId="83" xfId="48" applyFont="1" applyBorder="1" applyAlignment="1" applyProtection="1">
      <alignment vertical="center"/>
    </xf>
    <xf numFmtId="0" fontId="34" fillId="0" borderId="84" xfId="4" applyFont="1" applyBorder="1" applyAlignment="1">
      <alignment vertical="center"/>
    </xf>
    <xf numFmtId="0" fontId="34" fillId="0" borderId="85" xfId="4" applyFont="1" applyBorder="1" applyAlignment="1">
      <alignment vertical="center"/>
    </xf>
    <xf numFmtId="44" fontId="66" fillId="0" borderId="55" xfId="48" applyFont="1" applyFill="1" applyBorder="1" applyAlignment="1">
      <alignment horizontal="right"/>
    </xf>
    <xf numFmtId="9" fontId="0" fillId="22" borderId="55" xfId="48" applyNumberFormat="1" applyFont="1" applyFill="1" applyBorder="1"/>
    <xf numFmtId="0" fontId="60" fillId="0" borderId="0" xfId="2" applyFont="1" applyBorder="1" applyAlignment="1">
      <alignment horizontal="center"/>
    </xf>
    <xf numFmtId="0" fontId="60" fillId="0" borderId="0" xfId="0" applyFont="1" applyAlignment="1">
      <alignment horizontal="center"/>
    </xf>
    <xf numFmtId="39" fontId="0" fillId="0" borderId="0" xfId="0" applyNumberFormat="1"/>
    <xf numFmtId="10" fontId="0" fillId="0" borderId="0" xfId="0" applyNumberFormat="1"/>
    <xf numFmtId="169" fontId="0" fillId="0" borderId="0" xfId="48" applyNumberFormat="1" applyFont="1" applyBorder="1"/>
    <xf numFmtId="169" fontId="0" fillId="0" borderId="55" xfId="48" applyNumberFormat="1" applyFont="1" applyBorder="1"/>
    <xf numFmtId="169" fontId="0" fillId="0" borderId="0" xfId="48" applyNumberFormat="1" applyFont="1" applyBorder="1" applyAlignment="1">
      <alignment horizontal="right"/>
    </xf>
    <xf numFmtId="169" fontId="0" fillId="0" borderId="0" xfId="48" applyNumberFormat="1" applyFont="1" applyBorder="1" applyAlignment="1"/>
    <xf numFmtId="0" fontId="39" fillId="0" borderId="0" xfId="0" applyFont="1" applyAlignment="1">
      <alignment horizontal="left" indent="1"/>
    </xf>
    <xf numFmtId="44" fontId="7" fillId="28" borderId="71" xfId="48" applyFont="1" applyFill="1" applyBorder="1" applyAlignment="1">
      <alignment horizontal="left"/>
    </xf>
    <xf numFmtId="44" fontId="7" fillId="0" borderId="72" xfId="48" applyFont="1" applyFill="1" applyBorder="1" applyAlignment="1">
      <alignment horizontal="left"/>
    </xf>
    <xf numFmtId="0" fontId="39" fillId="28" borderId="0" xfId="0" applyFont="1" applyFill="1"/>
    <xf numFmtId="0" fontId="39" fillId="28" borderId="60" xfId="0" applyFont="1" applyFill="1" applyBorder="1"/>
    <xf numFmtId="169" fontId="60" fillId="32" borderId="73" xfId="2" applyNumberFormat="1" applyFont="1" applyFill="1" applyBorder="1" applyAlignment="1"/>
    <xf numFmtId="0" fontId="39" fillId="0" borderId="77" xfId="0" applyFont="1" applyBorder="1" applyAlignment="1">
      <alignment horizontal="left" indent="1"/>
    </xf>
    <xf numFmtId="0" fontId="39" fillId="0" borderId="66" xfId="0" applyFont="1" applyBorder="1" applyAlignment="1">
      <alignment horizontal="left" indent="1"/>
    </xf>
    <xf numFmtId="0" fontId="39" fillId="0" borderId="69" xfId="0" applyFont="1" applyBorder="1" applyAlignment="1">
      <alignment horizontal="left" indent="1"/>
    </xf>
    <xf numFmtId="44" fontId="7" fillId="28" borderId="66" xfId="48" applyFont="1" applyFill="1" applyBorder="1" applyAlignment="1">
      <alignment horizontal="left"/>
    </xf>
    <xf numFmtId="44" fontId="7" fillId="28" borderId="69" xfId="48" applyFont="1" applyFill="1" applyBorder="1" applyAlignment="1">
      <alignment horizontal="left"/>
    </xf>
    <xf numFmtId="0" fontId="0" fillId="28" borderId="2" xfId="0" applyFill="1" applyBorder="1" applyAlignment="1">
      <alignment horizontal="center"/>
    </xf>
    <xf numFmtId="169" fontId="35" fillId="0" borderId="61" xfId="48" applyNumberFormat="1" applyFont="1" applyFill="1" applyBorder="1" applyAlignment="1">
      <alignment horizontal="right" vertical="center"/>
    </xf>
    <xf numFmtId="0" fontId="35" fillId="0" borderId="0" xfId="4" applyFont="1" applyAlignment="1">
      <alignment vertical="center"/>
    </xf>
    <xf numFmtId="0" fontId="35" fillId="0" borderId="54" xfId="4" applyFont="1" applyBorder="1" applyAlignment="1">
      <alignment vertical="center"/>
    </xf>
    <xf numFmtId="0" fontId="35" fillId="23" borderId="78" xfId="4" applyFont="1" applyFill="1" applyBorder="1" applyAlignment="1">
      <alignment vertical="center"/>
    </xf>
    <xf numFmtId="0" fontId="7" fillId="0" borderId="66" xfId="4" applyFont="1" applyBorder="1" applyAlignment="1" applyProtection="1">
      <alignment vertical="center"/>
      <protection locked="0"/>
    </xf>
    <xf numFmtId="0" fontId="35" fillId="0" borderId="66" xfId="4" applyFont="1" applyBorder="1" applyAlignment="1" applyProtection="1">
      <alignment vertical="center"/>
      <protection locked="0"/>
    </xf>
    <xf numFmtId="0" fontId="58" fillId="0" borderId="66" xfId="4" applyFont="1" applyBorder="1" applyAlignment="1" applyProtection="1">
      <alignment vertical="center"/>
      <protection locked="0"/>
    </xf>
    <xf numFmtId="0" fontId="34" fillId="0" borderId="90" xfId="4" applyFont="1" applyBorder="1" applyAlignment="1">
      <alignment vertical="center"/>
    </xf>
    <xf numFmtId="167" fontId="7" fillId="0" borderId="77" xfId="48" applyNumberFormat="1" applyFont="1" applyFill="1" applyBorder="1" applyAlignment="1" applyProtection="1">
      <protection locked="0"/>
    </xf>
    <xf numFmtId="167" fontId="35" fillId="0" borderId="77" xfId="48" applyNumberFormat="1" applyFont="1" applyFill="1" applyBorder="1" applyAlignment="1" applyProtection="1">
      <protection locked="0"/>
    </xf>
    <xf numFmtId="167" fontId="7" fillId="0" borderId="83" xfId="48" applyNumberFormat="1" applyFont="1" applyFill="1" applyBorder="1" applyAlignment="1" applyProtection="1">
      <protection locked="0"/>
    </xf>
    <xf numFmtId="167" fontId="7" fillId="0" borderId="77" xfId="48" applyNumberFormat="1" applyFont="1" applyBorder="1" applyAlignment="1" applyProtection="1">
      <protection locked="0"/>
    </xf>
    <xf numFmtId="167" fontId="35" fillId="0" borderId="77" xfId="48" applyNumberFormat="1" applyFont="1" applyBorder="1" applyAlignment="1" applyProtection="1">
      <protection locked="0"/>
    </xf>
    <xf numFmtId="167" fontId="35" fillId="0" borderId="87" xfId="48" applyNumberFormat="1" applyFont="1" applyFill="1" applyBorder="1" applyAlignment="1" applyProtection="1">
      <protection locked="0"/>
    </xf>
    <xf numFmtId="167" fontId="7" fillId="0" borderId="83" xfId="48" applyNumberFormat="1" applyFont="1" applyBorder="1" applyAlignment="1" applyProtection="1">
      <protection locked="0"/>
    </xf>
    <xf numFmtId="0" fontId="60" fillId="0" borderId="0" xfId="4" applyFont="1" applyAlignment="1" applyProtection="1">
      <alignment horizontal="center" vertical="center"/>
      <protection locked="0"/>
    </xf>
    <xf numFmtId="167" fontId="7" fillId="0" borderId="66" xfId="48" applyNumberFormat="1" applyFont="1" applyBorder="1" applyAlignment="1" applyProtection="1"/>
    <xf numFmtId="43" fontId="7" fillId="0" borderId="66" xfId="48" applyNumberFormat="1" applyFont="1" applyBorder="1" applyAlignment="1" applyProtection="1"/>
    <xf numFmtId="169" fontId="35" fillId="0" borderId="66" xfId="48" applyNumberFormat="1" applyFont="1" applyBorder="1" applyAlignment="1" applyProtection="1">
      <alignment horizontal="right"/>
    </xf>
    <xf numFmtId="164" fontId="0" fillId="0" borderId="2" xfId="0" applyNumberFormat="1" applyBorder="1" applyAlignment="1">
      <alignment horizontal="center"/>
    </xf>
    <xf numFmtId="0" fontId="0" fillId="0" borderId="68" xfId="0" applyBorder="1"/>
    <xf numFmtId="0" fontId="39" fillId="0" borderId="66" xfId="0" applyFont="1" applyBorder="1"/>
    <xf numFmtId="0" fontId="39" fillId="0" borderId="69" xfId="0" applyFont="1" applyBorder="1"/>
    <xf numFmtId="0" fontId="39" fillId="0" borderId="66" xfId="0" applyFont="1" applyBorder="1" applyAlignment="1">
      <alignment horizontal="left"/>
    </xf>
    <xf numFmtId="0" fontId="60" fillId="0" borderId="18" xfId="4" applyFont="1" applyBorder="1" applyAlignment="1" applyProtection="1">
      <alignment horizontal="center"/>
      <protection locked="0"/>
    </xf>
    <xf numFmtId="169" fontId="7" fillId="0" borderId="18" xfId="48" applyNumberFormat="1" applyFont="1" applyFill="1" applyBorder="1" applyAlignment="1" applyProtection="1">
      <alignment horizontal="right"/>
      <protection locked="0"/>
    </xf>
    <xf numFmtId="8" fontId="35" fillId="0" borderId="61" xfId="48" applyNumberFormat="1" applyFont="1" applyFill="1" applyBorder="1" applyAlignment="1">
      <alignment horizontal="right" vertical="center"/>
    </xf>
    <xf numFmtId="0" fontId="35" fillId="0" borderId="0" xfId="4" applyFont="1" applyAlignment="1">
      <alignment horizontal="right" vertical="center"/>
    </xf>
    <xf numFmtId="0" fontId="43" fillId="0" borderId="0" xfId="4" applyFont="1" applyAlignment="1">
      <alignment horizontal="right" vertical="center"/>
    </xf>
    <xf numFmtId="169" fontId="35" fillId="0" borderId="0" xfId="4" applyNumberFormat="1" applyFont="1" applyAlignment="1">
      <alignment horizontal="center" vertical="center"/>
    </xf>
    <xf numFmtId="169" fontId="7" fillId="0" borderId="66" xfId="48" applyNumberFormat="1" applyFont="1" applyBorder="1" applyAlignment="1" applyProtection="1"/>
    <xf numFmtId="169" fontId="7" fillId="0" borderId="88" xfId="48" applyNumberFormat="1" applyFont="1" applyBorder="1" applyAlignment="1" applyProtection="1"/>
    <xf numFmtId="169" fontId="35" fillId="0" borderId="66" xfId="48" applyNumberFormat="1" applyFont="1" applyBorder="1" applyAlignment="1" applyProtection="1"/>
    <xf numFmtId="169" fontId="35" fillId="0" borderId="89" xfId="48" applyNumberFormat="1" applyFont="1" applyBorder="1" applyAlignment="1" applyProtection="1"/>
    <xf numFmtId="169" fontId="35" fillId="0" borderId="66" xfId="48" applyNumberFormat="1" applyFont="1" applyBorder="1" applyAlignment="1" applyProtection="1">
      <alignment horizontal="center"/>
    </xf>
    <xf numFmtId="0" fontId="43" fillId="36" borderId="0" xfId="0" applyFont="1" applyFill="1" applyAlignment="1">
      <alignment horizontal="center"/>
    </xf>
    <xf numFmtId="0" fontId="39" fillId="0" borderId="0" xfId="0" applyFont="1" applyAlignment="1">
      <alignment horizontal="center" vertical="center"/>
    </xf>
    <xf numFmtId="43" fontId="0" fillId="0" borderId="55" xfId="0" applyNumberFormat="1" applyBorder="1"/>
    <xf numFmtId="169" fontId="0" fillId="0" borderId="55" xfId="0" applyNumberFormat="1" applyBorder="1"/>
    <xf numFmtId="44" fontId="7" fillId="0" borderId="76" xfId="48" applyFont="1" applyBorder="1" applyAlignment="1" applyProtection="1">
      <alignment vertical="center"/>
      <protection locked="0"/>
    </xf>
    <xf numFmtId="44" fontId="35" fillId="0" borderId="76" xfId="48" applyFont="1" applyBorder="1" applyAlignment="1" applyProtection="1">
      <alignment vertical="center"/>
      <protection locked="0"/>
    </xf>
    <xf numFmtId="167" fontId="7" fillId="0" borderId="76" xfId="48" applyNumberFormat="1" applyFont="1" applyFill="1" applyBorder="1" applyAlignment="1" applyProtection="1">
      <protection locked="0"/>
    </xf>
    <xf numFmtId="44" fontId="7" fillId="0" borderId="92" xfId="48" applyFont="1" applyBorder="1" applyAlignment="1" applyProtection="1">
      <alignment vertical="center"/>
      <protection locked="0"/>
    </xf>
    <xf numFmtId="0" fontId="44" fillId="0" borderId="87" xfId="4" applyFont="1" applyBorder="1" applyAlignment="1" applyProtection="1">
      <alignment horizontal="center" vertical="center"/>
      <protection locked="0"/>
    </xf>
    <xf numFmtId="0" fontId="59" fillId="0" borderId="0" xfId="0" applyFont="1"/>
    <xf numFmtId="0" fontId="60" fillId="0" borderId="0" xfId="4" applyFont="1" applyAlignment="1">
      <alignment horizontal="left"/>
    </xf>
    <xf numFmtId="0" fontId="59" fillId="0" borderId="0" xfId="4" applyFont="1" applyAlignment="1">
      <alignment horizontal="left"/>
    </xf>
    <xf numFmtId="0" fontId="35" fillId="0" borderId="0" xfId="4" applyFont="1" applyAlignment="1" applyProtection="1">
      <alignment horizontal="right" vertical="center"/>
      <protection locked="0"/>
    </xf>
    <xf numFmtId="169" fontId="35" fillId="22" borderId="61" xfId="48" applyNumberFormat="1" applyFont="1" applyFill="1" applyBorder="1" applyAlignment="1">
      <alignment vertical="center"/>
    </xf>
    <xf numFmtId="0" fontId="7" fillId="0" borderId="0" xfId="4" applyFont="1" applyAlignment="1" applyProtection="1">
      <alignment horizontal="left" vertical="center" wrapText="1" indent="3"/>
      <protection locked="0"/>
    </xf>
    <xf numFmtId="0" fontId="0" fillId="0" borderId="6" xfId="0" applyBorder="1" applyAlignment="1">
      <alignment wrapText="1"/>
    </xf>
    <xf numFmtId="0" fontId="35" fillId="23" borderId="59" xfId="4" applyFont="1" applyFill="1" applyBorder="1" applyAlignment="1">
      <alignment horizontal="center" vertical="center"/>
    </xf>
    <xf numFmtId="0" fontId="39" fillId="0" borderId="0" xfId="0" applyFont="1" applyAlignment="1">
      <alignment horizontal="left" wrapText="1" indent="1"/>
    </xf>
    <xf numFmtId="0" fontId="72" fillId="0" borderId="0" xfId="0" applyFont="1"/>
    <xf numFmtId="49" fontId="35" fillId="28" borderId="2" xfId="48" applyNumberFormat="1" applyFont="1" applyFill="1" applyBorder="1" applyAlignment="1">
      <alignment horizontal="left"/>
    </xf>
    <xf numFmtId="0" fontId="51" fillId="22" borderId="0" xfId="0" applyFont="1" applyFill="1"/>
    <xf numFmtId="10" fontId="0" fillId="0" borderId="2" xfId="0" applyNumberFormat="1" applyBorder="1" applyAlignment="1">
      <alignment horizontal="center"/>
    </xf>
    <xf numFmtId="0" fontId="60" fillId="28" borderId="0" xfId="0" applyFont="1" applyFill="1"/>
    <xf numFmtId="0" fontId="51" fillId="28" borderId="0" xfId="0" applyFont="1" applyFill="1"/>
    <xf numFmtId="0" fontId="56" fillId="0" borderId="55" xfId="0" applyFont="1" applyBorder="1"/>
    <xf numFmtId="0" fontId="56" fillId="34" borderId="0" xfId="0" applyFont="1" applyFill="1"/>
    <xf numFmtId="10" fontId="51" fillId="34" borderId="0" xfId="0" applyNumberFormat="1" applyFont="1" applyFill="1"/>
    <xf numFmtId="0" fontId="51" fillId="34" borderId="0" xfId="0" applyFont="1" applyFill="1"/>
    <xf numFmtId="0" fontId="56" fillId="34" borderId="55" xfId="0" applyFont="1" applyFill="1" applyBorder="1"/>
    <xf numFmtId="10" fontId="51" fillId="34" borderId="55" xfId="0" applyNumberFormat="1" applyFont="1" applyFill="1" applyBorder="1"/>
    <xf numFmtId="0" fontId="51" fillId="34" borderId="55" xfId="0" applyFont="1" applyFill="1" applyBorder="1"/>
    <xf numFmtId="0" fontId="56" fillId="35" borderId="0" xfId="0" applyFont="1" applyFill="1"/>
    <xf numFmtId="0" fontId="51" fillId="35" borderId="0" xfId="0" applyFont="1" applyFill="1"/>
    <xf numFmtId="44" fontId="56" fillId="35" borderId="0" xfId="0" applyNumberFormat="1" applyFont="1" applyFill="1"/>
    <xf numFmtId="8" fontId="56" fillId="32" borderId="0" xfId="0" applyNumberFormat="1" applyFont="1" applyFill="1"/>
    <xf numFmtId="14" fontId="56" fillId="0" borderId="0" xfId="0" applyNumberFormat="1" applyFont="1"/>
    <xf numFmtId="169" fontId="59" fillId="0" borderId="0" xfId="0" applyNumberFormat="1" applyFont="1"/>
    <xf numFmtId="10" fontId="60" fillId="0" borderId="0" xfId="0" applyNumberFormat="1" applyFont="1"/>
    <xf numFmtId="44" fontId="39" fillId="0" borderId="0" xfId="48" applyFont="1" applyFill="1" applyBorder="1" applyAlignment="1">
      <alignment horizontal="right"/>
    </xf>
    <xf numFmtId="44" fontId="39" fillId="0" borderId="0" xfId="48" applyFont="1" applyFill="1" applyBorder="1"/>
    <xf numFmtId="9" fontId="0" fillId="33" borderId="0" xfId="0" applyNumberFormat="1" applyFill="1"/>
    <xf numFmtId="44" fontId="39" fillId="0" borderId="0" xfId="0" applyNumberFormat="1" applyFont="1"/>
    <xf numFmtId="164" fontId="39" fillId="0" borderId="0" xfId="0" applyNumberFormat="1" applyFont="1" applyAlignment="1">
      <alignment horizontal="right"/>
    </xf>
    <xf numFmtId="164" fontId="39" fillId="0" borderId="0" xfId="0" applyNumberFormat="1" applyFont="1"/>
    <xf numFmtId="10" fontId="39" fillId="0" borderId="0" xfId="0" applyNumberFormat="1" applyFont="1"/>
    <xf numFmtId="44" fontId="0" fillId="0" borderId="0" xfId="0" applyNumberFormat="1" applyAlignment="1">
      <alignment horizontal="left"/>
    </xf>
    <xf numFmtId="39" fontId="35" fillId="0" borderId="59" xfId="4" applyNumberFormat="1" applyFont="1" applyBorder="1" applyAlignment="1">
      <alignment horizontal="center"/>
    </xf>
    <xf numFmtId="14" fontId="7" fillId="0" borderId="54" xfId="4" applyNumberFormat="1" applyFont="1" applyBorder="1" applyAlignment="1">
      <alignment horizontal="center" vertical="center"/>
    </xf>
    <xf numFmtId="169" fontId="35" fillId="0" borderId="62" xfId="48" applyNumberFormat="1" applyFont="1" applyFill="1" applyBorder="1" applyAlignment="1">
      <alignment horizontal="right" vertical="center"/>
    </xf>
    <xf numFmtId="169" fontId="35" fillId="21" borderId="59" xfId="4" applyNumberFormat="1" applyFont="1" applyFill="1" applyBorder="1" applyAlignment="1">
      <alignment horizontal="right" vertical="center"/>
    </xf>
    <xf numFmtId="0" fontId="7" fillId="0" borderId="0" xfId="4" applyFont="1" applyAlignment="1" applyProtection="1">
      <alignment horizontal="left" vertical="center"/>
      <protection locked="0"/>
    </xf>
    <xf numFmtId="9" fontId="0" fillId="0" borderId="0" xfId="0" applyNumberFormat="1"/>
    <xf numFmtId="167" fontId="7" fillId="0" borderId="65" xfId="48" applyNumberFormat="1" applyFont="1" applyFill="1" applyBorder="1" applyAlignment="1" applyProtection="1">
      <protection locked="0"/>
    </xf>
    <xf numFmtId="167" fontId="35" fillId="0" borderId="65" xfId="48" applyNumberFormat="1" applyFont="1" applyFill="1" applyBorder="1" applyAlignment="1" applyProtection="1">
      <protection locked="0"/>
    </xf>
    <xf numFmtId="0" fontId="44" fillId="0" borderId="65" xfId="4" applyFont="1" applyBorder="1" applyAlignment="1" applyProtection="1">
      <alignment horizontal="center" vertical="center"/>
      <protection locked="0"/>
    </xf>
    <xf numFmtId="44" fontId="7" fillId="0" borderId="95" xfId="48" applyFont="1" applyBorder="1" applyAlignment="1" applyProtection="1">
      <alignment vertical="center"/>
      <protection locked="0"/>
    </xf>
    <xf numFmtId="44" fontId="7" fillId="0" borderId="65" xfId="48" applyFont="1" applyBorder="1" applyAlignment="1" applyProtection="1">
      <alignment vertical="center"/>
    </xf>
    <xf numFmtId="0" fontId="39" fillId="0" borderId="55" xfId="0" applyFont="1" applyBorder="1" applyAlignment="1">
      <alignment horizontal="center" vertical="center"/>
    </xf>
    <xf numFmtId="0" fontId="51" fillId="22" borderId="55" xfId="0" applyFont="1" applyFill="1" applyBorder="1"/>
    <xf numFmtId="0" fontId="59" fillId="0" borderId="55" xfId="0" applyFont="1" applyBorder="1" applyAlignment="1">
      <alignment horizontal="center"/>
    </xf>
    <xf numFmtId="169" fontId="56" fillId="31" borderId="0" xfId="0" applyNumberFormat="1" applyFont="1" applyFill="1" applyAlignment="1">
      <alignment horizontal="right"/>
    </xf>
    <xf numFmtId="169" fontId="56" fillId="0" borderId="0" xfId="0" applyNumberFormat="1" applyFont="1" applyAlignment="1">
      <alignment horizontal="right"/>
    </xf>
    <xf numFmtId="0" fontId="59" fillId="0" borderId="0" xfId="4" applyFont="1"/>
    <xf numFmtId="0" fontId="60" fillId="27" borderId="0" xfId="0" applyFont="1" applyFill="1"/>
    <xf numFmtId="171" fontId="0" fillId="0" borderId="0" xfId="0" applyNumberFormat="1"/>
    <xf numFmtId="0" fontId="60" fillId="0" borderId="2" xfId="4" applyFont="1" applyBorder="1" applyAlignment="1" applyProtection="1">
      <alignment horizontal="left" vertical="center" indent="1"/>
      <protection locked="0"/>
    </xf>
    <xf numFmtId="169" fontId="35" fillId="21" borderId="69" xfId="4" applyNumberFormat="1" applyFont="1" applyFill="1" applyBorder="1" applyAlignment="1">
      <alignment horizontal="right" vertical="center"/>
    </xf>
    <xf numFmtId="0" fontId="69" fillId="0" borderId="68" xfId="4" applyFont="1" applyBorder="1" applyAlignment="1">
      <alignment vertical="center"/>
    </xf>
    <xf numFmtId="0" fontId="73" fillId="0" borderId="0" xfId="0" applyFont="1"/>
    <xf numFmtId="0" fontId="8" fillId="0" borderId="0" xfId="0" applyFont="1" applyAlignment="1">
      <alignment horizontal="center"/>
    </xf>
    <xf numFmtId="0" fontId="6" fillId="0" borderId="49" xfId="0" applyFont="1" applyBorder="1" applyAlignment="1">
      <alignment horizontal="left" vertical="center"/>
    </xf>
    <xf numFmtId="0" fontId="39" fillId="2" borderId="0" xfId="0" applyFont="1" applyFill="1" applyAlignment="1">
      <alignment horizontal="center"/>
    </xf>
    <xf numFmtId="44" fontId="7" fillId="0" borderId="77" xfId="48" applyFont="1" applyFill="1" applyBorder="1" applyAlignment="1" applyProtection="1">
      <protection locked="0"/>
    </xf>
    <xf numFmtId="44" fontId="7" fillId="0" borderId="66" xfId="48" applyFont="1" applyBorder="1" applyAlignment="1" applyProtection="1"/>
    <xf numFmtId="0" fontId="51" fillId="0" borderId="2" xfId="0" applyFont="1" applyBorder="1" applyAlignment="1">
      <alignment wrapText="1"/>
    </xf>
    <xf numFmtId="0" fontId="60" fillId="28" borderId="0" xfId="0" applyFont="1" applyFill="1" applyAlignment="1">
      <alignment wrapText="1"/>
    </xf>
    <xf numFmtId="0" fontId="39" fillId="0" borderId="68" xfId="0" applyFont="1" applyBorder="1" applyAlignment="1">
      <alignment horizontal="left" indent="1"/>
    </xf>
    <xf numFmtId="169" fontId="51" fillId="32" borderId="72" xfId="0" applyNumberFormat="1" applyFont="1" applyFill="1" applyBorder="1"/>
    <xf numFmtId="14" fontId="35" fillId="0" borderId="66" xfId="48" applyNumberFormat="1" applyFont="1" applyFill="1" applyBorder="1" applyAlignment="1">
      <alignment horizontal="right" vertical="center"/>
    </xf>
    <xf numFmtId="169" fontId="35" fillId="0" borderId="59" xfId="48" applyNumberFormat="1" applyFont="1" applyFill="1" applyBorder="1" applyAlignment="1">
      <alignment horizontal="right" vertical="center"/>
    </xf>
    <xf numFmtId="169" fontId="35" fillId="0" borderId="69" xfId="48" applyNumberFormat="1" applyFont="1" applyFill="1" applyBorder="1" applyAlignment="1">
      <alignment horizontal="right" vertical="center"/>
    </xf>
    <xf numFmtId="44" fontId="0" fillId="22" borderId="0" xfId="48" applyFont="1" applyFill="1" applyBorder="1"/>
    <xf numFmtId="0" fontId="75" fillId="0" borderId="2" xfId="4" applyFont="1" applyBorder="1" applyAlignment="1" applyProtection="1">
      <alignment horizontal="left" vertical="center" indent="2"/>
      <protection locked="0"/>
    </xf>
    <xf numFmtId="0" fontId="74" fillId="0" borderId="0" xfId="4" applyFont="1" applyAlignment="1" applyProtection="1">
      <alignment horizontal="center" vertical="center"/>
      <protection locked="0"/>
    </xf>
    <xf numFmtId="0" fontId="60" fillId="0" borderId="0" xfId="2" applyFont="1" applyFill="1" applyAlignment="1"/>
    <xf numFmtId="0" fontId="60" fillId="0" borderId="0" xfId="2" applyFont="1" applyAlignment="1"/>
    <xf numFmtId="0" fontId="0" fillId="0" borderId="0" xfId="0" applyAlignment="1">
      <alignment horizontal="center" wrapText="1"/>
    </xf>
    <xf numFmtId="0" fontId="56" fillId="0" borderId="55" xfId="0" applyFont="1" applyBorder="1" applyAlignment="1">
      <alignment horizontal="center"/>
    </xf>
    <xf numFmtId="0" fontId="56" fillId="0" borderId="28" xfId="0" applyFont="1" applyBorder="1" applyAlignment="1">
      <alignment horizontal="center"/>
    </xf>
    <xf numFmtId="0" fontId="39" fillId="0" borderId="0" xfId="0" applyFont="1" applyAlignment="1">
      <alignment horizontal="left" wrapText="1"/>
    </xf>
    <xf numFmtId="0" fontId="0" fillId="36" borderId="0" xfId="0" applyFill="1" applyAlignment="1">
      <alignment horizontal="center"/>
    </xf>
    <xf numFmtId="0" fontId="35" fillId="0" borderId="0" xfId="4" applyFont="1" applyAlignment="1" applyProtection="1">
      <alignment horizontal="left" vertical="center" indent="2"/>
      <protection locked="0"/>
    </xf>
    <xf numFmtId="0" fontId="7" fillId="0" borderId="0" xfId="4" applyFont="1" applyAlignment="1" applyProtection="1">
      <alignment horizontal="left" vertical="center" wrapText="1"/>
      <protection locked="0"/>
    </xf>
    <xf numFmtId="10" fontId="0" fillId="0" borderId="55" xfId="0" applyNumberFormat="1" applyBorder="1"/>
    <xf numFmtId="0" fontId="44" fillId="0" borderId="18" xfId="4" applyFont="1" applyBorder="1" applyAlignment="1" applyProtection="1">
      <alignment horizontal="center" wrapText="1"/>
      <protection locked="0"/>
    </xf>
    <xf numFmtId="44" fontId="77" fillId="36" borderId="0" xfId="48" applyFont="1" applyFill="1" applyBorder="1" applyAlignment="1">
      <alignment horizontal="left"/>
    </xf>
    <xf numFmtId="0" fontId="60" fillId="38" borderId="0" xfId="2" applyFont="1" applyFill="1"/>
    <xf numFmtId="0" fontId="51" fillId="38" borderId="0" xfId="0" applyFont="1" applyFill="1"/>
    <xf numFmtId="0" fontId="60" fillId="38" borderId="0" xfId="0" applyFont="1" applyFill="1"/>
    <xf numFmtId="0" fontId="78" fillId="28" borderId="0" xfId="2" applyFont="1" applyFill="1"/>
    <xf numFmtId="0" fontId="60" fillId="28" borderId="0" xfId="2" applyFont="1" applyFill="1" applyAlignment="1">
      <alignment wrapText="1"/>
    </xf>
    <xf numFmtId="0" fontId="60" fillId="28" borderId="0" xfId="2" applyFont="1" applyFill="1" applyAlignment="1">
      <alignment horizontal="left"/>
    </xf>
    <xf numFmtId="0" fontId="51" fillId="37" borderId="0" xfId="0" applyFont="1" applyFill="1"/>
    <xf numFmtId="0" fontId="51" fillId="37" borderId="0" xfId="0" applyFont="1" applyFill="1" applyAlignment="1">
      <alignment horizontal="left"/>
    </xf>
    <xf numFmtId="0" fontId="60" fillId="36" borderId="0" xfId="2" applyFont="1" applyFill="1"/>
    <xf numFmtId="0" fontId="60" fillId="36" borderId="0" xfId="0" applyFont="1" applyFill="1"/>
    <xf numFmtId="0" fontId="35" fillId="23" borderId="24" xfId="4" applyFont="1" applyFill="1" applyBorder="1" applyAlignment="1">
      <alignment horizontal="left"/>
    </xf>
    <xf numFmtId="0" fontId="35" fillId="23" borderId="25" xfId="4" applyFont="1" applyFill="1" applyBorder="1" applyAlignment="1">
      <alignment horizontal="left" indent="1"/>
    </xf>
    <xf numFmtId="0" fontId="35" fillId="23" borderId="25" xfId="4" applyFont="1" applyFill="1" applyBorder="1"/>
    <xf numFmtId="0" fontId="59" fillId="23" borderId="26" xfId="4" applyFont="1" applyFill="1" applyBorder="1" applyAlignment="1">
      <alignment horizontal="center"/>
    </xf>
    <xf numFmtId="0" fontId="35" fillId="23" borderId="27" xfId="4" applyFont="1" applyFill="1" applyBorder="1" applyAlignment="1">
      <alignment horizontal="center"/>
    </xf>
    <xf numFmtId="0" fontId="35" fillId="0" borderId="35" xfId="4" applyFont="1" applyBorder="1" applyAlignment="1">
      <alignment horizontal="left"/>
    </xf>
    <xf numFmtId="0" fontId="35" fillId="0" borderId="33" xfId="4" applyFont="1" applyBorder="1" applyAlignment="1">
      <alignment horizontal="left" indent="1"/>
    </xf>
    <xf numFmtId="0" fontId="35" fillId="0" borderId="33" xfId="4" applyFont="1" applyBorder="1" applyAlignment="1">
      <alignment indent="1"/>
    </xf>
    <xf numFmtId="0" fontId="35" fillId="0" borderId="33" xfId="4" applyFont="1" applyBorder="1"/>
    <xf numFmtId="0" fontId="43" fillId="0" borderId="34" xfId="4" applyFont="1" applyBorder="1" applyAlignment="1">
      <alignment horizontal="center"/>
    </xf>
    <xf numFmtId="0" fontId="35" fillId="0" borderId="34" xfId="4" applyFont="1" applyBorder="1" applyAlignment="1">
      <alignment horizontal="center"/>
    </xf>
    <xf numFmtId="0" fontId="35" fillId="0" borderId="36" xfId="4" applyFont="1" applyBorder="1" applyAlignment="1">
      <alignment horizontal="center"/>
    </xf>
    <xf numFmtId="0" fontId="7" fillId="0" borderId="2" xfId="4" applyFont="1" applyBorder="1" applyAlignment="1" applyProtection="1">
      <alignment horizontal="left" indent="1"/>
      <protection locked="0"/>
    </xf>
    <xf numFmtId="0" fontId="7" fillId="0" borderId="0" xfId="4" applyFont="1" applyProtection="1">
      <protection locked="0"/>
    </xf>
    <xf numFmtId="0" fontId="7" fillId="0" borderId="66" xfId="4" applyFont="1" applyBorder="1" applyProtection="1">
      <protection locked="0"/>
    </xf>
    <xf numFmtId="0" fontId="60" fillId="0" borderId="0" xfId="4" applyFont="1" applyAlignment="1" applyProtection="1">
      <alignment horizontal="center"/>
      <protection locked="0"/>
    </xf>
    <xf numFmtId="0" fontId="44" fillId="0" borderId="0" xfId="4" applyFont="1" applyAlignment="1" applyProtection="1">
      <alignment horizontal="center"/>
      <protection locked="0"/>
    </xf>
    <xf numFmtId="0" fontId="35" fillId="0" borderId="2" xfId="4" applyFont="1" applyBorder="1" applyProtection="1">
      <protection locked="0"/>
    </xf>
    <xf numFmtId="0" fontId="35" fillId="0" borderId="0" xfId="4" applyFont="1" applyProtection="1">
      <protection locked="0"/>
    </xf>
    <xf numFmtId="0" fontId="35" fillId="0" borderId="66" xfId="4" applyFont="1" applyBorder="1" applyProtection="1">
      <protection locked="0"/>
    </xf>
    <xf numFmtId="0" fontId="43" fillId="0" borderId="0" xfId="4" applyFont="1" applyAlignment="1" applyProtection="1">
      <alignment horizontal="center"/>
      <protection locked="0"/>
    </xf>
    <xf numFmtId="0" fontId="7" fillId="0" borderId="2" xfId="4" applyFont="1" applyBorder="1" applyProtection="1">
      <protection locked="0"/>
    </xf>
    <xf numFmtId="0" fontId="7" fillId="0" borderId="28" xfId="4" applyFont="1" applyBorder="1" applyProtection="1">
      <protection locked="0"/>
    </xf>
    <xf numFmtId="0" fontId="7" fillId="0" borderId="88" xfId="4" applyFont="1" applyBorder="1" applyProtection="1">
      <protection locked="0"/>
    </xf>
    <xf numFmtId="0" fontId="44" fillId="0" borderId="28" xfId="4" applyFont="1" applyBorder="1" applyAlignment="1" applyProtection="1">
      <alignment horizontal="center"/>
      <protection locked="0"/>
    </xf>
    <xf numFmtId="0" fontId="44" fillId="24" borderId="0" xfId="4" applyFont="1" applyFill="1" applyAlignment="1" applyProtection="1">
      <alignment horizontal="center"/>
      <protection locked="0"/>
    </xf>
    <xf numFmtId="0" fontId="35" fillId="0" borderId="28" xfId="4" applyFont="1" applyBorder="1" applyProtection="1">
      <protection locked="0"/>
    </xf>
    <xf numFmtId="0" fontId="35" fillId="0" borderId="0" xfId="4" applyFont="1" applyAlignment="1" applyProtection="1">
      <alignment horizontal="right"/>
      <protection locked="0"/>
    </xf>
    <xf numFmtId="0" fontId="58" fillId="0" borderId="66" xfId="4" applyFont="1" applyBorder="1" applyProtection="1">
      <protection locked="0"/>
    </xf>
    <xf numFmtId="0" fontId="35" fillId="0" borderId="2" xfId="4" applyFont="1" applyBorder="1" applyAlignment="1" applyProtection="1">
      <alignment indent="1"/>
      <protection locked="0"/>
    </xf>
    <xf numFmtId="0" fontId="7" fillId="0" borderId="2" xfId="4" applyFont="1" applyBorder="1" applyAlignment="1" applyProtection="1">
      <alignment horizontal="left" indent="2"/>
      <protection locked="0"/>
    </xf>
    <xf numFmtId="0" fontId="35" fillId="0" borderId="55" xfId="4" applyFont="1" applyBorder="1" applyProtection="1">
      <protection locked="0"/>
    </xf>
    <xf numFmtId="0" fontId="35" fillId="0" borderId="89" xfId="4" applyFont="1" applyBorder="1" applyProtection="1">
      <protection locked="0"/>
    </xf>
    <xf numFmtId="0" fontId="44" fillId="0" borderId="55" xfId="4" applyFont="1" applyBorder="1" applyAlignment="1" applyProtection="1">
      <alignment horizontal="center"/>
      <protection locked="0"/>
    </xf>
    <xf numFmtId="0" fontId="35" fillId="0" borderId="0" xfId="4" applyFont="1" applyAlignment="1" applyProtection="1">
      <alignment horizontal="left"/>
      <protection locked="0"/>
    </xf>
    <xf numFmtId="0" fontId="35" fillId="0" borderId="38" xfId="4" applyFont="1" applyBorder="1" applyProtection="1">
      <protection locked="0"/>
    </xf>
    <xf numFmtId="0" fontId="58" fillId="0" borderId="66" xfId="4" applyFont="1" applyBorder="1" applyAlignment="1" applyProtection="1">
      <alignment wrapText="1"/>
      <protection locked="0"/>
    </xf>
    <xf numFmtId="43" fontId="7" fillId="0" borderId="77" xfId="4" applyNumberFormat="1" applyFont="1" applyBorder="1" applyProtection="1">
      <protection locked="0"/>
    </xf>
    <xf numFmtId="169" fontId="7" fillId="0" borderId="66" xfId="4" applyNumberFormat="1" applyFont="1" applyBorder="1"/>
    <xf numFmtId="44" fontId="7" fillId="0" borderId="83" xfId="48" applyFont="1" applyBorder="1" applyAlignment="1" applyProtection="1">
      <protection locked="0"/>
    </xf>
    <xf numFmtId="44" fontId="7" fillId="0" borderId="77" xfId="48" applyFont="1" applyBorder="1" applyAlignment="1" applyProtection="1"/>
    <xf numFmtId="0" fontId="82" fillId="0" borderId="65" xfId="4" applyFont="1" applyBorder="1" applyAlignment="1" applyProtection="1">
      <alignment horizontal="left" wrapText="1" indent="3"/>
      <protection locked="0"/>
    </xf>
    <xf numFmtId="0" fontId="35" fillId="0" borderId="0" xfId="4" applyFont="1"/>
    <xf numFmtId="0" fontId="60" fillId="0" borderId="0" xfId="4" applyFont="1" applyAlignment="1">
      <alignment horizontal="center"/>
    </xf>
    <xf numFmtId="0" fontId="83" fillId="28" borderId="0" xfId="0" applyFont="1" applyFill="1"/>
    <xf numFmtId="44" fontId="0" fillId="36" borderId="0" xfId="48" applyFont="1" applyFill="1" applyBorder="1"/>
    <xf numFmtId="0" fontId="85" fillId="0" borderId="96" xfId="0" applyFont="1" applyBorder="1"/>
    <xf numFmtId="0" fontId="85" fillId="0" borderId="97" xfId="0" applyFont="1" applyBorder="1"/>
    <xf numFmtId="0" fontId="64" fillId="0" borderId="96" xfId="0" applyFont="1" applyBorder="1"/>
    <xf numFmtId="172" fontId="0" fillId="0" borderId="0" xfId="0" applyNumberFormat="1"/>
    <xf numFmtId="10" fontId="39" fillId="0" borderId="0" xfId="0" applyNumberFormat="1" applyFont="1" applyAlignment="1">
      <alignment horizontal="center"/>
    </xf>
    <xf numFmtId="44" fontId="39" fillId="39" borderId="0" xfId="0" applyNumberFormat="1" applyFont="1" applyFill="1"/>
    <xf numFmtId="14" fontId="39" fillId="0" borderId="0" xfId="0" applyNumberFormat="1" applyFont="1" applyAlignment="1">
      <alignment horizontal="left"/>
    </xf>
    <xf numFmtId="0" fontId="56" fillId="0" borderId="0" xfId="0" applyFont="1" applyAlignment="1">
      <alignment horizontal="center"/>
    </xf>
    <xf numFmtId="9" fontId="39" fillId="0" borderId="55" xfId="0" applyNumberFormat="1" applyFont="1" applyBorder="1" applyAlignment="1">
      <alignment horizontal="center"/>
    </xf>
    <xf numFmtId="169" fontId="39" fillId="22" borderId="0" xfId="0" applyNumberFormat="1" applyFont="1" applyFill="1" applyAlignment="1">
      <alignment horizontal="center"/>
    </xf>
    <xf numFmtId="10" fontId="51" fillId="0" borderId="0" xfId="0" applyNumberFormat="1" applyFont="1" applyAlignment="1">
      <alignment horizontal="center"/>
    </xf>
    <xf numFmtId="44" fontId="39" fillId="0" borderId="0" xfId="0" applyNumberFormat="1" applyFont="1" applyAlignment="1">
      <alignment horizontal="center"/>
    </xf>
    <xf numFmtId="169" fontId="35" fillId="0" borderId="62" xfId="48" applyNumberFormat="1" applyFont="1" applyFill="1" applyBorder="1" applyAlignment="1">
      <alignment vertical="center"/>
    </xf>
    <xf numFmtId="14" fontId="35" fillId="0" borderId="61" xfId="48" applyNumberFormat="1" applyFont="1" applyFill="1" applyBorder="1" applyAlignment="1">
      <alignment vertical="center"/>
    </xf>
    <xf numFmtId="0" fontId="44" fillId="0" borderId="18" xfId="4" applyFont="1" applyBorder="1" applyAlignment="1" applyProtection="1">
      <alignment horizontal="center"/>
      <protection locked="0"/>
    </xf>
    <xf numFmtId="0" fontId="0" fillId="0" borderId="66" xfId="0" applyBorder="1"/>
    <xf numFmtId="0" fontId="0" fillId="36" borderId="0" xfId="0" applyFill="1"/>
    <xf numFmtId="0" fontId="51" fillId="40" borderId="0" xfId="0" applyFont="1" applyFill="1"/>
    <xf numFmtId="0" fontId="60" fillId="40" borderId="0" xfId="0" applyFont="1" applyFill="1" applyAlignment="1">
      <alignment horizontal="left"/>
    </xf>
    <xf numFmtId="0" fontId="84" fillId="40" borderId="0" xfId="0" applyFont="1" applyFill="1"/>
    <xf numFmtId="0" fontId="0" fillId="40" borderId="0" xfId="0" applyFill="1" applyAlignment="1">
      <alignment horizontal="left"/>
    </xf>
    <xf numFmtId="0" fontId="60" fillId="40" borderId="0" xfId="2" applyFont="1" applyFill="1"/>
    <xf numFmtId="8" fontId="56" fillId="0" borderId="0" xfId="0" applyNumberFormat="1" applyFont="1"/>
    <xf numFmtId="0" fontId="65" fillId="41" borderId="55" xfId="0" applyFont="1" applyFill="1" applyBorder="1" applyAlignment="1">
      <alignment vertical="top"/>
    </xf>
    <xf numFmtId="44" fontId="39" fillId="0" borderId="55" xfId="0" applyNumberFormat="1" applyFont="1" applyBorder="1" applyAlignment="1">
      <alignment horizontal="center"/>
    </xf>
    <xf numFmtId="9" fontId="0" fillId="22" borderId="0" xfId="48" applyNumberFormat="1" applyFont="1" applyFill="1" applyBorder="1"/>
    <xf numFmtId="0" fontId="0" fillId="41" borderId="55" xfId="0" applyFill="1" applyBorder="1"/>
    <xf numFmtId="44" fontId="0" fillId="41" borderId="55" xfId="48" applyFont="1" applyFill="1" applyBorder="1"/>
    <xf numFmtId="39" fontId="0" fillId="41" borderId="55" xfId="48" applyNumberFormat="1" applyFont="1" applyFill="1" applyBorder="1"/>
    <xf numFmtId="44" fontId="66" fillId="41" borderId="55" xfId="48" applyFont="1" applyFill="1" applyBorder="1" applyAlignment="1">
      <alignment horizontal="right"/>
    </xf>
    <xf numFmtId="9" fontId="0" fillId="41" borderId="55" xfId="48" applyNumberFormat="1" applyFont="1" applyFill="1" applyBorder="1"/>
    <xf numFmtId="9" fontId="39" fillId="0" borderId="55" xfId="3" applyFont="1" applyFill="1" applyBorder="1"/>
    <xf numFmtId="44" fontId="0" fillId="0" borderId="55" xfId="0" applyNumberFormat="1" applyBorder="1"/>
    <xf numFmtId="44" fontId="39" fillId="0" borderId="55" xfId="48" applyFont="1" applyFill="1" applyBorder="1" applyAlignment="1">
      <alignment horizontal="center"/>
    </xf>
    <xf numFmtId="0" fontId="60" fillId="40" borderId="0" xfId="0" applyFont="1" applyFill="1"/>
    <xf numFmtId="0" fontId="60" fillId="40" borderId="0" xfId="0" applyFont="1" applyFill="1" applyAlignment="1">
      <alignment wrapText="1"/>
    </xf>
    <xf numFmtId="0" fontId="60" fillId="41" borderId="55" xfId="0" applyFont="1" applyFill="1" applyBorder="1"/>
    <xf numFmtId="0" fontId="0" fillId="22" borderId="55" xfId="0" applyFill="1" applyBorder="1"/>
    <xf numFmtId="10" fontId="0" fillId="0" borderId="0" xfId="0" applyNumberFormat="1" applyAlignment="1">
      <alignment horizontal="center"/>
    </xf>
    <xf numFmtId="10" fontId="0" fillId="0" borderId="55" xfId="0" applyNumberFormat="1" applyBorder="1" applyAlignment="1">
      <alignment horizontal="center"/>
    </xf>
    <xf numFmtId="0" fontId="66" fillId="0" borderId="0" xfId="0" applyFont="1" applyAlignment="1">
      <alignment horizontal="right"/>
    </xf>
    <xf numFmtId="172" fontId="0" fillId="0" borderId="55" xfId="0" applyNumberFormat="1" applyBorder="1"/>
    <xf numFmtId="9" fontId="51" fillId="34" borderId="0" xfId="0" applyNumberFormat="1" applyFont="1" applyFill="1"/>
    <xf numFmtId="169" fontId="7" fillId="0" borderId="77" xfId="48" applyNumberFormat="1" applyFont="1" applyFill="1" applyBorder="1" applyAlignment="1" applyProtection="1">
      <protection locked="0"/>
    </xf>
    <xf numFmtId="0" fontId="60" fillId="0" borderId="0" xfId="0" applyFont="1" applyAlignment="1">
      <alignment horizontal="left"/>
    </xf>
    <xf numFmtId="10" fontId="56" fillId="22" borderId="0" xfId="0" applyNumberFormat="1" applyFont="1" applyFill="1" applyAlignment="1">
      <alignment horizontal="center"/>
    </xf>
    <xf numFmtId="0" fontId="51" fillId="0" borderId="0" xfId="0" applyFont="1" applyAlignment="1">
      <alignment horizontal="left"/>
    </xf>
    <xf numFmtId="44" fontId="51" fillId="0" borderId="0" xfId="0" applyNumberFormat="1" applyFont="1" applyAlignment="1">
      <alignment horizontal="left"/>
    </xf>
    <xf numFmtId="170" fontId="0" fillId="0" borderId="0" xfId="0" applyNumberFormat="1" applyAlignment="1">
      <alignment horizontal="left"/>
    </xf>
    <xf numFmtId="8" fontId="51" fillId="0" borderId="0" xfId="0" applyNumberFormat="1" applyFont="1" applyAlignment="1">
      <alignment horizontal="left"/>
    </xf>
    <xf numFmtId="0" fontId="0" fillId="0" borderId="0" xfId="0" quotePrefix="1" applyAlignment="1">
      <alignment horizontal="left"/>
    </xf>
    <xf numFmtId="0" fontId="51" fillId="36" borderId="0" xfId="0" applyFont="1" applyFill="1"/>
    <xf numFmtId="0" fontId="60" fillId="28" borderId="0" xfId="0" applyFont="1" applyFill="1" applyAlignment="1">
      <alignment horizontal="left" indent="1"/>
    </xf>
    <xf numFmtId="0" fontId="83" fillId="28" borderId="0" xfId="0" applyFont="1" applyFill="1" applyAlignment="1">
      <alignment horizontal="left"/>
    </xf>
    <xf numFmtId="0" fontId="39" fillId="0" borderId="55" xfId="0" applyFont="1" applyBorder="1" applyAlignment="1">
      <alignment horizontal="left"/>
    </xf>
    <xf numFmtId="14" fontId="0" fillId="22" borderId="0" xfId="0" applyNumberFormat="1" applyFill="1" applyAlignment="1">
      <alignment horizontal="center"/>
    </xf>
    <xf numFmtId="14" fontId="0" fillId="0" borderId="0" xfId="0" applyNumberFormat="1" applyAlignment="1">
      <alignment horizontal="center"/>
    </xf>
    <xf numFmtId="0" fontId="44" fillId="0" borderId="0" xfId="0" applyFont="1"/>
    <xf numFmtId="0" fontId="88" fillId="0" borderId="0" xfId="0" applyFont="1"/>
    <xf numFmtId="0" fontId="51" fillId="0" borderId="2" xfId="0" applyFont="1" applyBorder="1" applyAlignment="1">
      <alignment horizontal="left"/>
    </xf>
    <xf numFmtId="0" fontId="51" fillId="0" borderId="2" xfId="0" applyFont="1" applyBorder="1"/>
    <xf numFmtId="0" fontId="51" fillId="0" borderId="2" xfId="0" quotePrefix="1" applyFont="1" applyBorder="1" applyAlignment="1">
      <alignment horizontal="left"/>
    </xf>
    <xf numFmtId="0" fontId="51" fillId="0" borderId="2" xfId="0" applyFont="1" applyBorder="1" applyAlignment="1">
      <alignment horizontal="left" wrapText="1"/>
    </xf>
    <xf numFmtId="1" fontId="0" fillId="0" borderId="0" xfId="0" applyNumberFormat="1"/>
    <xf numFmtId="10" fontId="39" fillId="39" borderId="0" xfId="0" applyNumberFormat="1" applyFont="1" applyFill="1"/>
    <xf numFmtId="0" fontId="60" fillId="38" borderId="0" xfId="2" applyFont="1" applyFill="1" applyAlignment="1">
      <alignment horizontal="left"/>
    </xf>
    <xf numFmtId="0" fontId="60" fillId="0" borderId="0" xfId="2" applyFont="1" applyFill="1" applyAlignment="1">
      <alignment horizontal="left" wrapText="1"/>
    </xf>
    <xf numFmtId="0" fontId="39" fillId="42" borderId="0" xfId="0" applyFont="1" applyFill="1" applyAlignment="1">
      <alignment horizontal="left" vertical="center"/>
    </xf>
    <xf numFmtId="1" fontId="0" fillId="0" borderId="0" xfId="0" applyNumberFormat="1" applyAlignment="1">
      <alignment vertical="center"/>
    </xf>
    <xf numFmtId="169" fontId="44" fillId="0" borderId="77" xfId="48" applyNumberFormat="1" applyFont="1" applyFill="1" applyBorder="1" applyAlignment="1" applyProtection="1">
      <protection locked="0"/>
    </xf>
    <xf numFmtId="169" fontId="44" fillId="0" borderId="66" xfId="48" applyNumberFormat="1" applyFont="1" applyFill="1" applyBorder="1" applyAlignment="1" applyProtection="1"/>
    <xf numFmtId="0" fontId="0" fillId="0" borderId="0" xfId="0" applyAlignment="1">
      <alignment horizontal="left" indent="1"/>
    </xf>
    <xf numFmtId="0" fontId="83" fillId="0" borderId="0" xfId="0" applyFont="1" applyAlignment="1">
      <alignment horizontal="left" indent="1"/>
    </xf>
    <xf numFmtId="0" fontId="0" fillId="0" borderId="0" xfId="0" applyAlignment="1">
      <alignment horizontal="left" wrapText="1" indent="1"/>
    </xf>
    <xf numFmtId="164" fontId="39" fillId="0" borderId="55" xfId="0" applyNumberFormat="1" applyFont="1" applyBorder="1" applyAlignment="1">
      <alignment horizontal="center"/>
    </xf>
    <xf numFmtId="172" fontId="0" fillId="22" borderId="0" xfId="0" applyNumberFormat="1" applyFill="1"/>
    <xf numFmtId="172" fontId="0" fillId="22" borderId="0" xfId="0" applyNumberFormat="1" applyFill="1" applyAlignment="1">
      <alignment horizontal="right"/>
    </xf>
    <xf numFmtId="172" fontId="60" fillId="22" borderId="0" xfId="0" applyNumberFormat="1" applyFont="1" applyFill="1" applyAlignment="1">
      <alignment horizontal="right"/>
    </xf>
    <xf numFmtId="172" fontId="0" fillId="36" borderId="0" xfId="0" applyNumberFormat="1" applyFill="1"/>
    <xf numFmtId="0" fontId="39" fillId="0" borderId="68" xfId="0" applyFont="1" applyBorder="1"/>
    <xf numFmtId="169" fontId="39" fillId="0" borderId="0" xfId="0" applyNumberFormat="1" applyFont="1" applyAlignment="1">
      <alignment horizontal="left"/>
    </xf>
    <xf numFmtId="0" fontId="91" fillId="0" borderId="0" xfId="0" applyFont="1" applyAlignment="1">
      <alignment horizontal="left" indent="1"/>
    </xf>
    <xf numFmtId="0" fontId="92" fillId="0" borderId="0" xfId="0" applyFont="1"/>
    <xf numFmtId="169" fontId="91" fillId="0" borderId="0" xfId="0" applyNumberFormat="1" applyFont="1"/>
    <xf numFmtId="173" fontId="0" fillId="0" borderId="0" xfId="0" applyNumberFormat="1" applyAlignment="1">
      <alignment horizontal="left" indent="1"/>
    </xf>
    <xf numFmtId="0" fontId="9" fillId="0" borderId="0" xfId="2" applyAlignment="1">
      <alignment horizontal="left" indent="1"/>
    </xf>
    <xf numFmtId="0" fontId="43" fillId="43" borderId="78" xfId="0" applyFont="1" applyFill="1" applyBorder="1" applyAlignment="1">
      <alignment horizontal="center"/>
    </xf>
    <xf numFmtId="0" fontId="43" fillId="43" borderId="58" xfId="0" applyFont="1" applyFill="1" applyBorder="1" applyAlignment="1">
      <alignment horizontal="right"/>
    </xf>
    <xf numFmtId="0" fontId="43" fillId="43" borderId="63" xfId="0" applyFont="1" applyFill="1" applyBorder="1" applyAlignment="1">
      <alignment horizontal="center"/>
    </xf>
    <xf numFmtId="0" fontId="43" fillId="43" borderId="59" xfId="0" applyFont="1" applyFill="1" applyBorder="1" applyAlignment="1">
      <alignment horizontal="center"/>
    </xf>
    <xf numFmtId="169" fontId="0" fillId="23" borderId="98" xfId="0" applyNumberFormat="1" applyFill="1" applyBorder="1" applyAlignment="1">
      <alignment horizontal="center"/>
    </xf>
    <xf numFmtId="0" fontId="39" fillId="23" borderId="67" xfId="0" applyFont="1" applyFill="1" applyBorder="1" applyAlignment="1">
      <alignment horizontal="right"/>
    </xf>
    <xf numFmtId="169" fontId="0" fillId="23" borderId="68" xfId="0" applyNumberFormat="1" applyFill="1" applyBorder="1" applyAlignment="1">
      <alignment horizontal="center"/>
    </xf>
    <xf numFmtId="169" fontId="0" fillId="23" borderId="69" xfId="0" applyNumberFormat="1" applyFill="1" applyBorder="1" applyAlignment="1">
      <alignment horizontal="center"/>
    </xf>
    <xf numFmtId="0" fontId="66" fillId="0" borderId="68" xfId="0" applyFont="1" applyBorder="1"/>
    <xf numFmtId="0" fontId="66" fillId="0" borderId="68" xfId="0" applyFont="1" applyBorder="1" applyAlignment="1">
      <alignment horizontal="left"/>
    </xf>
    <xf numFmtId="0" fontId="94" fillId="0" borderId="0" xfId="0" applyFont="1" applyAlignment="1">
      <alignment horizontal="left" indent="1"/>
    </xf>
    <xf numFmtId="169" fontId="94" fillId="0" borderId="0" xfId="0" applyNumberFormat="1" applyFont="1" applyAlignment="1">
      <alignment horizontal="left"/>
    </xf>
    <xf numFmtId="0" fontId="39" fillId="42" borderId="0" xfId="0" applyFont="1" applyFill="1"/>
    <xf numFmtId="0" fontId="39" fillId="0" borderId="65" xfId="0" applyFont="1" applyBorder="1"/>
    <xf numFmtId="1" fontId="0" fillId="0" borderId="66" xfId="0" applyNumberFormat="1" applyBorder="1"/>
    <xf numFmtId="1" fontId="39" fillId="41" borderId="66" xfId="0" applyNumberFormat="1" applyFont="1" applyFill="1" applyBorder="1"/>
    <xf numFmtId="0" fontId="39" fillId="0" borderId="67" xfId="0" applyFont="1" applyBorder="1" applyAlignment="1">
      <alignment horizontal="left" indent="1"/>
    </xf>
    <xf numFmtId="1" fontId="39" fillId="41" borderId="69" xfId="0" applyNumberFormat="1" applyFont="1" applyFill="1" applyBorder="1"/>
    <xf numFmtId="0" fontId="0" fillId="0" borderId="65" xfId="0" applyBorder="1"/>
    <xf numFmtId="0" fontId="39" fillId="0" borderId="67" xfId="0" applyFont="1" applyBorder="1"/>
    <xf numFmtId="1" fontId="0" fillId="22" borderId="66" xfId="0" applyNumberFormat="1" applyFill="1" applyBorder="1"/>
    <xf numFmtId="0" fontId="66" fillId="0" borderId="65" xfId="0" applyFont="1" applyBorder="1" applyAlignment="1">
      <alignment horizontal="center"/>
    </xf>
    <xf numFmtId="0" fontId="66" fillId="0" borderId="66" xfId="0" applyFont="1" applyBorder="1" applyAlignment="1">
      <alignment horizontal="center"/>
    </xf>
    <xf numFmtId="1" fontId="0" fillId="41" borderId="66" xfId="0" applyNumberFormat="1" applyFill="1" applyBorder="1"/>
    <xf numFmtId="0" fontId="0" fillId="22" borderId="66" xfId="0" applyFill="1" applyBorder="1"/>
    <xf numFmtId="1" fontId="0" fillId="41" borderId="69" xfId="0" applyNumberFormat="1" applyFill="1" applyBorder="1"/>
    <xf numFmtId="0" fontId="39" fillId="0" borderId="65" xfId="0" applyFont="1" applyBorder="1" applyAlignment="1">
      <alignment horizontal="left"/>
    </xf>
    <xf numFmtId="169" fontId="0" fillId="0" borderId="66" xfId="0" applyNumberFormat="1" applyBorder="1"/>
    <xf numFmtId="0" fontId="60" fillId="0" borderId="0" xfId="0" applyFont="1" applyAlignment="1">
      <alignment horizontal="left" wrapText="1" indent="1"/>
    </xf>
    <xf numFmtId="174" fontId="0" fillId="0" borderId="0" xfId="0" applyNumberFormat="1"/>
    <xf numFmtId="0" fontId="95" fillId="0" borderId="0" xfId="0" applyFont="1" applyAlignment="1">
      <alignment horizontal="left" indent="1"/>
    </xf>
    <xf numFmtId="10" fontId="95" fillId="0" borderId="0" xfId="0" applyNumberFormat="1" applyFont="1" applyAlignment="1">
      <alignment horizontal="center"/>
    </xf>
    <xf numFmtId="0" fontId="7" fillId="0" borderId="2" xfId="4" applyFont="1" applyBorder="1" applyAlignment="1" applyProtection="1">
      <alignment horizontal="left" indent="3"/>
      <protection locked="0"/>
    </xf>
    <xf numFmtId="0" fontId="82" fillId="0" borderId="65" xfId="4" applyFont="1" applyBorder="1" applyAlignment="1" applyProtection="1">
      <alignment horizontal="left" wrapText="1" indent="4"/>
      <protection locked="0"/>
    </xf>
    <xf numFmtId="0" fontId="7" fillId="0" borderId="2" xfId="4" applyFont="1" applyBorder="1" applyAlignment="1" applyProtection="1">
      <alignment horizontal="left" vertical="center" indent="3"/>
      <protection locked="0"/>
    </xf>
    <xf numFmtId="173" fontId="51" fillId="0" borderId="2" xfId="0" applyNumberFormat="1" applyFont="1" applyBorder="1" applyAlignment="1">
      <alignment horizontal="left" wrapText="1"/>
    </xf>
    <xf numFmtId="0" fontId="9" fillId="0" borderId="2" xfId="2" applyFill="1" applyBorder="1" applyAlignment="1">
      <alignment horizontal="left"/>
    </xf>
    <xf numFmtId="173" fontId="0" fillId="0" borderId="0" xfId="0" applyNumberFormat="1" applyAlignment="1">
      <alignment horizontal="left"/>
    </xf>
    <xf numFmtId="0" fontId="92" fillId="0" borderId="0" xfId="4" applyFont="1" applyAlignment="1" applyProtection="1">
      <alignment horizontal="center"/>
      <protection locked="0"/>
    </xf>
    <xf numFmtId="0" fontId="39" fillId="0" borderId="0" xfId="0" applyFont="1" applyAlignment="1">
      <alignment horizontal="left" indent="2"/>
    </xf>
    <xf numFmtId="172" fontId="0" fillId="36" borderId="0" xfId="0" applyNumberFormat="1" applyFill="1" applyAlignment="1">
      <alignment horizontal="right"/>
    </xf>
    <xf numFmtId="0" fontId="56" fillId="0" borderId="38" xfId="4" applyFont="1" applyBorder="1" applyProtection="1">
      <protection locked="0"/>
    </xf>
    <xf numFmtId="0" fontId="59" fillId="0" borderId="2" xfId="4" applyFont="1" applyBorder="1" applyAlignment="1" applyProtection="1">
      <alignment indent="1"/>
      <protection locked="0"/>
    </xf>
    <xf numFmtId="0" fontId="60" fillId="0" borderId="0" xfId="4" applyFont="1" applyAlignment="1" applyProtection="1">
      <alignment horizontal="left" vertical="center"/>
      <protection locked="0"/>
    </xf>
    <xf numFmtId="0" fontId="51" fillId="0" borderId="2" xfId="4" applyFont="1" applyBorder="1" applyAlignment="1" applyProtection="1">
      <alignment horizontal="left" vertical="center" indent="1"/>
      <protection locked="0"/>
    </xf>
    <xf numFmtId="0" fontId="59" fillId="0" borderId="0" xfId="0" applyFont="1" applyAlignment="1">
      <alignment horizontal="center"/>
    </xf>
    <xf numFmtId="173" fontId="60" fillId="0" borderId="0" xfId="0" applyNumberFormat="1" applyFont="1"/>
    <xf numFmtId="0" fontId="70" fillId="0" borderId="2" xfId="4" applyFont="1" applyBorder="1" applyAlignment="1" applyProtection="1">
      <alignment horizontal="left" indent="1"/>
      <protection locked="0"/>
    </xf>
    <xf numFmtId="0" fontId="58" fillId="0" borderId="0" xfId="4" applyFont="1" applyAlignment="1" applyProtection="1">
      <alignment vertical="center"/>
      <protection locked="0"/>
    </xf>
    <xf numFmtId="0" fontId="75" fillId="0" borderId="2" xfId="4" applyFont="1" applyBorder="1" applyAlignment="1" applyProtection="1">
      <alignment horizontal="left" vertical="center" indent="4"/>
      <protection locked="0"/>
    </xf>
    <xf numFmtId="172" fontId="39" fillId="0" borderId="0" xfId="0" applyNumberFormat="1" applyFont="1"/>
    <xf numFmtId="0" fontId="44" fillId="0" borderId="0" xfId="4" applyFont="1" applyAlignment="1" applyProtection="1">
      <alignment horizontal="center" vertical="center"/>
      <protection locked="0"/>
    </xf>
    <xf numFmtId="0" fontId="35" fillId="0" borderId="2" xfId="4" applyFont="1" applyBorder="1" applyAlignment="1" applyProtection="1">
      <alignment horizontal="left" indent="1"/>
      <protection locked="0"/>
    </xf>
    <xf numFmtId="169" fontId="7" fillId="0" borderId="66" xfId="48" applyNumberFormat="1" applyFont="1" applyBorder="1" applyAlignment="1" applyProtection="1">
      <alignment horizontal="right"/>
    </xf>
    <xf numFmtId="0" fontId="96" fillId="0" borderId="66" xfId="4" applyFont="1" applyBorder="1" applyAlignment="1" applyProtection="1">
      <alignment vertical="center"/>
      <protection locked="0"/>
    </xf>
    <xf numFmtId="0" fontId="96" fillId="0" borderId="66" xfId="4" applyFont="1" applyBorder="1" applyProtection="1">
      <protection locked="0"/>
    </xf>
    <xf numFmtId="43" fontId="0" fillId="0" borderId="0" xfId="0" applyNumberFormat="1" applyAlignment="1">
      <alignment horizontal="left"/>
    </xf>
    <xf numFmtId="0" fontId="7" fillId="0" borderId="2" xfId="4" applyFont="1" applyBorder="1" applyAlignment="1" applyProtection="1">
      <alignment horizontal="left" vertical="center" wrapText="1" indent="1"/>
      <protection locked="0"/>
    </xf>
    <xf numFmtId="0" fontId="60" fillId="0" borderId="0" xfId="2" applyFont="1" applyFill="1" applyAlignment="1">
      <alignment horizontal="left" vertical="center"/>
    </xf>
    <xf numFmtId="44" fontId="51" fillId="35" borderId="0" xfId="0" applyNumberFormat="1" applyFont="1" applyFill="1"/>
    <xf numFmtId="44" fontId="56" fillId="0" borderId="0" xfId="0" applyNumberFormat="1" applyFont="1"/>
    <xf numFmtId="0" fontId="63" fillId="0" borderId="68" xfId="4" applyFont="1" applyBorder="1" applyAlignment="1">
      <alignment vertical="center"/>
    </xf>
    <xf numFmtId="44" fontId="7" fillId="0" borderId="0" xfId="48" applyFont="1" applyBorder="1" applyAlignment="1" applyProtection="1">
      <protection locked="0"/>
    </xf>
    <xf numFmtId="44" fontId="35" fillId="0" borderId="0" xfId="48" applyFont="1" applyBorder="1" applyAlignment="1" applyProtection="1">
      <protection locked="0"/>
    </xf>
    <xf numFmtId="44" fontId="35" fillId="0" borderId="77" xfId="48" applyFont="1" applyBorder="1" applyAlignment="1" applyProtection="1"/>
    <xf numFmtId="44" fontId="7" fillId="0" borderId="65" xfId="48" applyFont="1" applyBorder="1" applyAlignment="1" applyProtection="1">
      <protection locked="0"/>
    </xf>
    <xf numFmtId="44" fontId="7" fillId="0" borderId="93" xfId="48" applyFont="1" applyBorder="1" applyAlignment="1" applyProtection="1">
      <protection locked="0"/>
    </xf>
    <xf numFmtId="44" fontId="7" fillId="0" borderId="87" xfId="48" applyFont="1" applyBorder="1" applyAlignment="1" applyProtection="1"/>
    <xf numFmtId="169" fontId="60" fillId="0" borderId="77" xfId="4" applyNumberFormat="1" applyFont="1" applyBorder="1" applyAlignment="1" applyProtection="1">
      <alignment horizontal="center"/>
      <protection locked="0"/>
    </xf>
    <xf numFmtId="0" fontId="60" fillId="0" borderId="77" xfId="4" applyFont="1" applyBorder="1" applyAlignment="1" applyProtection="1">
      <alignment horizontal="center"/>
      <protection locked="0"/>
    </xf>
    <xf numFmtId="0" fontId="44" fillId="0" borderId="77" xfId="4" applyFont="1" applyBorder="1" applyAlignment="1" applyProtection="1">
      <alignment horizontal="center"/>
      <protection locked="0"/>
    </xf>
    <xf numFmtId="0" fontId="44" fillId="0" borderId="65" xfId="4" applyFont="1" applyBorder="1" applyAlignment="1" applyProtection="1">
      <alignment horizontal="center"/>
      <protection locked="0"/>
    </xf>
    <xf numFmtId="0" fontId="44" fillId="0" borderId="93" xfId="4" applyFont="1" applyBorder="1" applyAlignment="1" applyProtection="1">
      <alignment horizontal="center"/>
      <protection locked="0"/>
    </xf>
    <xf numFmtId="0" fontId="60" fillId="0" borderId="65" xfId="4" applyFont="1" applyBorder="1" applyAlignment="1" applyProtection="1">
      <alignment horizontal="center"/>
      <protection locked="0"/>
    </xf>
    <xf numFmtId="0" fontId="43" fillId="0" borderId="65" xfId="4" applyFont="1" applyBorder="1" applyAlignment="1" applyProtection="1">
      <alignment horizontal="center"/>
      <protection locked="0"/>
    </xf>
    <xf numFmtId="0" fontId="74" fillId="0" borderId="2" xfId="4" applyFont="1" applyBorder="1" applyAlignment="1" applyProtection="1">
      <alignment horizontal="left" wrapText="1" indent="3"/>
      <protection locked="0"/>
    </xf>
    <xf numFmtId="44" fontId="60" fillId="0" borderId="18" xfId="4" applyNumberFormat="1" applyFont="1" applyBorder="1" applyAlignment="1" applyProtection="1">
      <alignment horizontal="center"/>
      <protection locked="0"/>
    </xf>
    <xf numFmtId="10" fontId="95" fillId="0" borderId="0" xfId="0" applyNumberFormat="1" applyFont="1" applyAlignment="1">
      <alignment horizontal="right"/>
    </xf>
    <xf numFmtId="169" fontId="0" fillId="22" borderId="0" xfId="48" applyNumberFormat="1" applyFont="1" applyFill="1" applyBorder="1"/>
    <xf numFmtId="0" fontId="0" fillId="0" borderId="0" xfId="0" applyAlignment="1">
      <alignment horizontal="center" vertical="top"/>
    </xf>
    <xf numFmtId="169" fontId="39" fillId="0" borderId="0" xfId="0" applyNumberFormat="1" applyFont="1"/>
    <xf numFmtId="0" fontId="35" fillId="0" borderId="55" xfId="4" applyFont="1" applyBorder="1" applyAlignment="1" applyProtection="1">
      <alignment horizontal="right" vertical="center"/>
      <protection locked="0"/>
    </xf>
    <xf numFmtId="0" fontId="60" fillId="0" borderId="55" xfId="2" applyFont="1" applyFill="1" applyBorder="1" applyAlignment="1"/>
    <xf numFmtId="0" fontId="58" fillId="0" borderId="89" xfId="4" applyFont="1" applyBorder="1" applyAlignment="1" applyProtection="1">
      <alignment vertical="center"/>
      <protection locked="0"/>
    </xf>
    <xf numFmtId="167" fontId="7" fillId="0" borderId="87" xfId="48" applyNumberFormat="1" applyFont="1" applyFill="1" applyBorder="1" applyAlignment="1" applyProtection="1">
      <protection locked="0"/>
    </xf>
    <xf numFmtId="169" fontId="7" fillId="0" borderId="89" xfId="48" applyNumberFormat="1" applyFont="1" applyBorder="1" applyAlignment="1" applyProtection="1"/>
    <xf numFmtId="0" fontId="60" fillId="0" borderId="0" xfId="2" applyFont="1" applyFill="1" applyBorder="1" applyAlignment="1"/>
    <xf numFmtId="0" fontId="98" fillId="0" borderId="2" xfId="4" applyFont="1" applyBorder="1" applyAlignment="1" applyProtection="1">
      <alignment horizontal="left" indent="3"/>
      <protection locked="0"/>
    </xf>
    <xf numFmtId="44" fontId="35" fillId="22" borderId="72" xfId="48" applyFont="1" applyFill="1" applyBorder="1" applyAlignment="1">
      <alignment horizontal="center"/>
    </xf>
    <xf numFmtId="0" fontId="60" fillId="0" borderId="64" xfId="4" applyFont="1" applyBorder="1" applyAlignment="1">
      <alignment horizontal="center"/>
    </xf>
    <xf numFmtId="0" fontId="63" fillId="0" borderId="68" xfId="4" applyFont="1" applyBorder="1" applyAlignment="1">
      <alignment horizontal="center" vertical="center"/>
    </xf>
    <xf numFmtId="0" fontId="35" fillId="0" borderId="0" xfId="4" applyFont="1" applyAlignment="1">
      <alignment horizontal="left" vertical="center" indent="1"/>
    </xf>
    <xf numFmtId="0" fontId="35" fillId="0" borderId="76" xfId="4" applyFont="1" applyBorder="1" applyAlignment="1">
      <alignment horizontal="center" vertical="center"/>
    </xf>
    <xf numFmtId="0" fontId="35" fillId="0" borderId="37" xfId="4" applyFont="1" applyBorder="1" applyAlignment="1">
      <alignment horizontal="center" vertical="center"/>
    </xf>
    <xf numFmtId="0" fontId="35" fillId="0" borderId="2" xfId="4" applyFont="1" applyBorder="1" applyAlignment="1">
      <alignment horizontal="left" vertical="center" indent="1"/>
    </xf>
    <xf numFmtId="0" fontId="75" fillId="0" borderId="2" xfId="4" applyFont="1" applyBorder="1" applyAlignment="1" applyProtection="1">
      <alignment horizontal="left" vertical="center" indent="3"/>
      <protection locked="0"/>
    </xf>
    <xf numFmtId="44" fontId="60" fillId="0" borderId="111" xfId="4" applyNumberFormat="1" applyFont="1" applyBorder="1" applyAlignment="1" applyProtection="1">
      <alignment horizontal="center"/>
      <protection locked="0"/>
    </xf>
    <xf numFmtId="167" fontId="7" fillId="0" borderId="111" xfId="48" applyNumberFormat="1" applyFont="1" applyBorder="1" applyAlignment="1" applyProtection="1"/>
    <xf numFmtId="0" fontId="7" fillId="0" borderId="65" xfId="4" applyFont="1" applyBorder="1" applyAlignment="1" applyProtection="1">
      <alignment horizontal="left" vertical="center" indent="2"/>
      <protection locked="0"/>
    </xf>
    <xf numFmtId="0" fontId="35" fillId="0" borderId="65" xfId="4" applyFont="1" applyBorder="1" applyAlignment="1" applyProtection="1">
      <alignment horizontal="left" vertical="center" indent="2"/>
      <protection locked="0"/>
    </xf>
    <xf numFmtId="167" fontId="35" fillId="0" borderId="111" xfId="48" applyNumberFormat="1" applyFont="1" applyBorder="1" applyAlignment="1" applyProtection="1"/>
    <xf numFmtId="44" fontId="59" fillId="0" borderId="111" xfId="4" applyNumberFormat="1" applyFont="1" applyBorder="1" applyAlignment="1" applyProtection="1">
      <alignment horizontal="center"/>
      <protection locked="0"/>
    </xf>
    <xf numFmtId="0" fontId="43" fillId="0" borderId="77" xfId="4" applyFont="1" applyBorder="1" applyAlignment="1">
      <alignment horizontal="center" vertical="center"/>
    </xf>
    <xf numFmtId="0" fontId="60" fillId="0" borderId="64" xfId="4" applyFont="1" applyBorder="1"/>
    <xf numFmtId="0" fontId="60" fillId="0" borderId="0" xfId="4" applyFont="1" applyAlignment="1">
      <alignment horizontal="right"/>
    </xf>
    <xf numFmtId="0" fontId="59" fillId="0" borderId="0" xfId="4" applyFont="1" applyAlignment="1">
      <alignment horizontal="center" indent="10"/>
    </xf>
    <xf numFmtId="0" fontId="59" fillId="0" borderId="64" xfId="4" applyFont="1" applyBorder="1" applyAlignment="1">
      <alignment horizontal="center"/>
    </xf>
    <xf numFmtId="0" fontId="59" fillId="0" borderId="64" xfId="4" applyFont="1" applyBorder="1"/>
    <xf numFmtId="0" fontId="39" fillId="39" borderId="0" xfId="0" applyFont="1" applyFill="1" applyAlignment="1">
      <alignment horizontal="center"/>
    </xf>
    <xf numFmtId="43" fontId="0" fillId="22" borderId="0" xfId="0" applyNumberFormat="1" applyFill="1"/>
    <xf numFmtId="0" fontId="6" fillId="0" borderId="0" xfId="0" applyFont="1" applyAlignment="1">
      <alignment vertical="top" wrapText="1" indent="3"/>
    </xf>
    <xf numFmtId="0" fontId="6" fillId="0" borderId="0" xfId="0" applyFont="1" applyAlignment="1">
      <alignment horizontal="left" vertical="top" wrapText="1"/>
    </xf>
    <xf numFmtId="0" fontId="76" fillId="0" borderId="0" xfId="0" applyFont="1" applyAlignment="1">
      <alignment wrapText="1"/>
    </xf>
    <xf numFmtId="169" fontId="35" fillId="0" borderId="0" xfId="4" applyNumberFormat="1" applyFont="1" applyAlignment="1">
      <alignment vertical="center"/>
    </xf>
    <xf numFmtId="0" fontId="79" fillId="0" borderId="0" xfId="4" applyFont="1" applyAlignment="1">
      <alignment vertical="center" wrapText="1"/>
    </xf>
    <xf numFmtId="169" fontId="7" fillId="0" borderId="76" xfId="48" applyNumberFormat="1" applyFont="1" applyFill="1" applyBorder="1" applyAlignment="1" applyProtection="1">
      <alignment horizontal="right"/>
      <protection locked="0"/>
    </xf>
    <xf numFmtId="0" fontId="7" fillId="0" borderId="55" xfId="4" applyFont="1" applyBorder="1" applyAlignment="1" applyProtection="1">
      <alignment vertical="center"/>
      <protection locked="0"/>
    </xf>
    <xf numFmtId="0" fontId="44" fillId="0" borderId="74" xfId="4" applyFont="1" applyBorder="1" applyAlignment="1" applyProtection="1">
      <alignment horizontal="center"/>
      <protection locked="0"/>
    </xf>
    <xf numFmtId="169" fontId="7" fillId="0" borderId="74" xfId="48" applyNumberFormat="1" applyFont="1" applyFill="1" applyBorder="1" applyAlignment="1" applyProtection="1">
      <alignment horizontal="right"/>
      <protection locked="0"/>
    </xf>
    <xf numFmtId="167" fontId="7" fillId="0" borderId="112" xfId="48" applyNumberFormat="1" applyFont="1" applyBorder="1" applyAlignment="1" applyProtection="1"/>
    <xf numFmtId="9" fontId="0" fillId="22" borderId="0" xfId="0" applyNumberFormat="1" applyFill="1"/>
    <xf numFmtId="49" fontId="60" fillId="0" borderId="0" xfId="0" applyNumberFormat="1" applyFont="1"/>
    <xf numFmtId="0" fontId="51" fillId="28" borderId="0" xfId="0" applyFont="1" applyFill="1" applyAlignment="1">
      <alignment wrapText="1"/>
    </xf>
    <xf numFmtId="0" fontId="56" fillId="0" borderId="70" xfId="4" applyFont="1" applyBorder="1" applyAlignment="1" applyProtection="1">
      <alignment horizontal="left"/>
      <protection locked="0"/>
    </xf>
    <xf numFmtId="0" fontId="51" fillId="0" borderId="2" xfId="4" applyFont="1" applyBorder="1" applyAlignment="1" applyProtection="1">
      <alignment horizontal="left" indent="1"/>
      <protection locked="0"/>
    </xf>
    <xf numFmtId="0" fontId="56" fillId="0" borderId="2" xfId="4" applyFont="1" applyBorder="1" applyAlignment="1" applyProtection="1">
      <alignment horizontal="left" indent="1"/>
      <protection locked="0"/>
    </xf>
    <xf numFmtId="0" fontId="81" fillId="0" borderId="0" xfId="0" applyFont="1" applyAlignment="1">
      <alignment vertical="center"/>
    </xf>
    <xf numFmtId="0" fontId="9" fillId="0" borderId="0" xfId="2"/>
    <xf numFmtId="0" fontId="59" fillId="0" borderId="93" xfId="4" applyFont="1" applyBorder="1" applyAlignment="1" applyProtection="1">
      <alignment horizontal="left" vertical="center" indent="1"/>
      <protection locked="0"/>
    </xf>
    <xf numFmtId="169" fontId="0" fillId="24" borderId="0" xfId="0" applyNumberFormat="1" applyFill="1"/>
    <xf numFmtId="44" fontId="7" fillId="0" borderId="66" xfId="48" applyFont="1" applyFill="1" applyBorder="1" applyAlignment="1" applyProtection="1">
      <protection locked="0"/>
    </xf>
    <xf numFmtId="0" fontId="35" fillId="0" borderId="0" xfId="4" applyFont="1" applyAlignment="1">
      <alignment horizontal="left" indent="1"/>
    </xf>
    <xf numFmtId="0" fontId="35" fillId="0" borderId="0" xfId="4" applyFont="1" applyAlignment="1">
      <alignment horizontal="center"/>
    </xf>
    <xf numFmtId="0" fontId="59" fillId="0" borderId="0" xfId="4" applyFont="1" applyAlignment="1">
      <alignment horizontal="center"/>
    </xf>
    <xf numFmtId="0" fontId="35" fillId="0" borderId="65" xfId="4" applyFont="1" applyBorder="1" applyAlignment="1">
      <alignment horizontal="left" indent="1"/>
    </xf>
    <xf numFmtId="0" fontId="35" fillId="0" borderId="65" xfId="4" applyFont="1" applyBorder="1" applyAlignment="1">
      <alignment horizontal="left"/>
    </xf>
    <xf numFmtId="0" fontId="35" fillId="0" borderId="66" xfId="4" applyFont="1" applyBorder="1" applyAlignment="1">
      <alignment horizontal="center"/>
    </xf>
    <xf numFmtId="0" fontId="7" fillId="0" borderId="0" xfId="4" applyFont="1" applyAlignment="1" applyProtection="1">
      <alignment wrapText="1"/>
      <protection locked="0"/>
    </xf>
    <xf numFmtId="0" fontId="35" fillId="23" borderId="88" xfId="4" applyFont="1" applyFill="1" applyBorder="1"/>
    <xf numFmtId="0" fontId="35" fillId="23" borderId="115" xfId="4" applyFont="1" applyFill="1" applyBorder="1" applyAlignment="1">
      <alignment horizontal="left"/>
    </xf>
    <xf numFmtId="0" fontId="35" fillId="23" borderId="116" xfId="4" applyFont="1" applyFill="1" applyBorder="1" applyAlignment="1">
      <alignment horizontal="left" indent="1"/>
    </xf>
    <xf numFmtId="0" fontId="35" fillId="23" borderId="116" xfId="4" applyFont="1" applyFill="1" applyBorder="1" applyAlignment="1">
      <alignment indent="1"/>
    </xf>
    <xf numFmtId="0" fontId="35" fillId="23" borderId="55" xfId="4" applyFont="1" applyFill="1" applyBorder="1" applyAlignment="1">
      <alignment horizontal="center"/>
    </xf>
    <xf numFmtId="0" fontId="59" fillId="23" borderId="117" xfId="4" applyFont="1" applyFill="1" applyBorder="1" applyAlignment="1">
      <alignment horizontal="center"/>
    </xf>
    <xf numFmtId="0" fontId="35" fillId="23" borderId="75" xfId="4" applyFont="1" applyFill="1" applyBorder="1" applyAlignment="1">
      <alignment horizontal="center"/>
    </xf>
    <xf numFmtId="0" fontId="35" fillId="0" borderId="68" xfId="4" applyFont="1" applyBorder="1" applyAlignment="1">
      <alignment horizontal="center"/>
    </xf>
    <xf numFmtId="0" fontId="59" fillId="0" borderId="68" xfId="4" applyFont="1" applyBorder="1" applyAlignment="1">
      <alignment horizontal="center"/>
    </xf>
    <xf numFmtId="0" fontId="35" fillId="0" borderId="69" xfId="4" applyFont="1" applyBorder="1" applyAlignment="1">
      <alignment horizontal="center"/>
    </xf>
    <xf numFmtId="0" fontId="34" fillId="0" borderId="2" xfId="4" applyFont="1" applyBorder="1" applyAlignment="1" applyProtection="1">
      <alignment horizontal="left" vertical="center" indent="2"/>
      <protection locked="0"/>
    </xf>
    <xf numFmtId="49" fontId="51" fillId="0" borderId="2" xfId="0" applyNumberFormat="1" applyFont="1" applyBorder="1" applyAlignment="1">
      <alignment wrapText="1"/>
    </xf>
    <xf numFmtId="0" fontId="51" fillId="37" borderId="0" xfId="0" applyFont="1" applyFill="1" applyAlignment="1">
      <alignment wrapText="1"/>
    </xf>
    <xf numFmtId="0" fontId="100" fillId="0" borderId="0" xfId="0" applyFont="1"/>
    <xf numFmtId="0" fontId="101" fillId="0" borderId="0" xfId="0" applyFont="1"/>
    <xf numFmtId="0" fontId="100" fillId="0" borderId="55" xfId="0" applyFont="1" applyBorder="1"/>
    <xf numFmtId="0" fontId="101" fillId="0" borderId="55" xfId="0" applyFont="1" applyBorder="1"/>
    <xf numFmtId="169" fontId="101" fillId="2" borderId="0" xfId="0" applyNumberFormat="1" applyFont="1" applyFill="1"/>
    <xf numFmtId="169" fontId="101" fillId="0" borderId="0" xfId="0" applyNumberFormat="1" applyFont="1"/>
    <xf numFmtId="10" fontId="101" fillId="0" borderId="0" xfId="0" applyNumberFormat="1" applyFont="1"/>
    <xf numFmtId="0" fontId="101" fillId="22" borderId="0" xfId="0" quotePrefix="1" applyFont="1" applyFill="1"/>
    <xf numFmtId="169" fontId="101" fillId="22" borderId="0" xfId="0" applyNumberFormat="1" applyFont="1" applyFill="1"/>
    <xf numFmtId="0" fontId="91" fillId="0" borderId="0" xfId="0" applyFont="1" applyAlignment="1">
      <alignment horizontal="center"/>
    </xf>
    <xf numFmtId="0" fontId="63" fillId="0" borderId="2" xfId="4" applyFont="1" applyBorder="1" applyAlignment="1" applyProtection="1">
      <alignment horizontal="left" vertical="center" indent="3"/>
      <protection locked="0"/>
    </xf>
    <xf numFmtId="0" fontId="69" fillId="0" borderId="68" xfId="4" applyFont="1" applyBorder="1" applyAlignment="1">
      <alignment horizontal="center" vertical="center"/>
    </xf>
    <xf numFmtId="0" fontId="7" fillId="0" borderId="0" xfId="4" applyFont="1" applyAlignment="1">
      <alignment horizontal="center" vertical="center"/>
    </xf>
    <xf numFmtId="0" fontId="60" fillId="0" borderId="0" xfId="2" applyFont="1" applyFill="1" applyBorder="1"/>
    <xf numFmtId="0" fontId="60" fillId="0" borderId="0" xfId="2" applyFont="1" applyBorder="1" applyAlignment="1"/>
    <xf numFmtId="0" fontId="60" fillId="0" borderId="0" xfId="2" applyFont="1" applyFill="1" applyBorder="1" applyAlignment="1">
      <alignment horizontal="left"/>
    </xf>
    <xf numFmtId="0" fontId="60" fillId="0" borderId="0" xfId="2" applyFont="1" applyFill="1" applyBorder="1" applyAlignment="1">
      <alignment horizontal="left" wrapText="1"/>
    </xf>
    <xf numFmtId="0" fontId="35" fillId="23" borderId="79" xfId="4" applyFont="1" applyFill="1" applyBorder="1" applyAlignment="1">
      <alignment horizontal="left"/>
    </xf>
    <xf numFmtId="0" fontId="63" fillId="0" borderId="21" xfId="4" applyFont="1" applyBorder="1" applyAlignment="1">
      <alignment vertical="center"/>
    </xf>
    <xf numFmtId="0" fontId="34" fillId="0" borderId="22" xfId="4" applyFont="1" applyBorder="1" applyAlignment="1">
      <alignment vertical="center"/>
    </xf>
    <xf numFmtId="0" fontId="34" fillId="0" borderId="118" xfId="4" applyFont="1" applyBorder="1" applyAlignment="1">
      <alignment vertical="center"/>
    </xf>
    <xf numFmtId="0" fontId="7" fillId="0" borderId="60" xfId="4" applyFont="1" applyBorder="1" applyAlignment="1" applyProtection="1">
      <alignment horizontal="left" indent="1"/>
      <protection locked="0"/>
    </xf>
    <xf numFmtId="0" fontId="0" fillId="0" borderId="64" xfId="0" applyBorder="1"/>
    <xf numFmtId="0" fontId="7" fillId="0" borderId="65" xfId="4" applyFont="1" applyBorder="1" applyAlignment="1" applyProtection="1">
      <alignment horizontal="left" vertical="center" indent="1"/>
      <protection locked="0"/>
    </xf>
    <xf numFmtId="0" fontId="7" fillId="0" borderId="65" xfId="4" applyFont="1" applyBorder="1" applyAlignment="1" applyProtection="1">
      <alignment horizontal="left" indent="1"/>
      <protection locked="0"/>
    </xf>
    <xf numFmtId="0" fontId="35" fillId="0" borderId="65" xfId="4" applyFont="1" applyBorder="1" applyProtection="1">
      <protection locked="0"/>
    </xf>
    <xf numFmtId="0" fontId="7" fillId="0" borderId="65" xfId="4" applyFont="1" applyBorder="1" applyProtection="1">
      <protection locked="0"/>
    </xf>
    <xf numFmtId="0" fontId="56" fillId="0" borderId="65" xfId="4" applyFont="1" applyBorder="1" applyProtection="1">
      <protection locked="0"/>
    </xf>
    <xf numFmtId="0" fontId="35" fillId="0" borderId="65" xfId="4" applyFont="1" applyBorder="1" applyAlignment="1" applyProtection="1">
      <alignment horizontal="left" indent="1"/>
      <protection locked="0"/>
    </xf>
    <xf numFmtId="0" fontId="75" fillId="0" borderId="65" xfId="4" applyFont="1" applyBorder="1" applyAlignment="1" applyProtection="1">
      <alignment horizontal="left" vertical="center" indent="4"/>
      <protection locked="0"/>
    </xf>
    <xf numFmtId="0" fontId="7" fillId="0" borderId="65" xfId="4" applyFont="1" applyBorder="1" applyAlignment="1" applyProtection="1">
      <alignment horizontal="left" vertical="center" indent="3"/>
      <protection locked="0"/>
    </xf>
    <xf numFmtId="0" fontId="59" fillId="0" borderId="65" xfId="4" applyFont="1" applyBorder="1" applyAlignment="1" applyProtection="1">
      <alignment indent="1"/>
      <protection locked="0"/>
    </xf>
    <xf numFmtId="0" fontId="7" fillId="0" borderId="65" xfId="4" applyFont="1" applyBorder="1" applyAlignment="1" applyProtection="1">
      <alignment vertical="center" indent="1"/>
      <protection locked="0"/>
    </xf>
    <xf numFmtId="0" fontId="7" fillId="0" borderId="65" xfId="4" applyFont="1" applyBorder="1" applyAlignment="1" applyProtection="1">
      <alignment horizontal="left" indent="2"/>
      <protection locked="0"/>
    </xf>
    <xf numFmtId="0" fontId="35" fillId="0" borderId="65" xfId="4" applyFont="1" applyBorder="1" applyAlignment="1" applyProtection="1">
      <alignment indent="1"/>
      <protection locked="0"/>
    </xf>
    <xf numFmtId="0" fontId="35" fillId="0" borderId="65" xfId="4" applyFont="1" applyBorder="1" applyAlignment="1" applyProtection="1">
      <alignment horizontal="left" vertical="center" indent="1"/>
      <protection locked="0"/>
    </xf>
    <xf numFmtId="0" fontId="74" fillId="0" borderId="65" xfId="4" applyFont="1" applyBorder="1" applyAlignment="1" applyProtection="1">
      <alignment horizontal="left" wrapText="1" indent="3"/>
      <protection locked="0"/>
    </xf>
    <xf numFmtId="0" fontId="70" fillId="0" borderId="65" xfId="4" applyFont="1" applyBorder="1" applyAlignment="1" applyProtection="1">
      <alignment horizontal="left" indent="1"/>
      <protection locked="0"/>
    </xf>
    <xf numFmtId="0" fontId="56" fillId="0" borderId="65" xfId="4" applyFont="1" applyBorder="1" applyAlignment="1" applyProtection="1">
      <alignment horizontal="left"/>
      <protection locked="0"/>
    </xf>
    <xf numFmtId="0" fontId="51" fillId="0" borderId="65" xfId="4" applyFont="1" applyBorder="1" applyAlignment="1" applyProtection="1">
      <alignment horizontal="left" indent="1"/>
      <protection locked="0"/>
    </xf>
    <xf numFmtId="0" fontId="56" fillId="0" borderId="65" xfId="4" applyFont="1" applyBorder="1" applyAlignment="1" applyProtection="1">
      <alignment horizontal="left" indent="1"/>
      <protection locked="0"/>
    </xf>
    <xf numFmtId="0" fontId="98" fillId="0" borderId="65" xfId="4" applyFont="1" applyBorder="1" applyAlignment="1" applyProtection="1">
      <alignment horizontal="left" indent="3"/>
      <protection locked="0"/>
    </xf>
    <xf numFmtId="0" fontId="7" fillId="0" borderId="65" xfId="4" applyFont="1" applyBorder="1" applyAlignment="1" applyProtection="1">
      <alignment horizontal="left" indent="3"/>
      <protection locked="0"/>
    </xf>
    <xf numFmtId="0" fontId="7" fillId="0" borderId="67" xfId="4" applyFont="1" applyBorder="1" applyAlignment="1" applyProtection="1">
      <alignment horizontal="left" indent="1"/>
      <protection locked="0"/>
    </xf>
    <xf numFmtId="0" fontId="7" fillId="0" borderId="68" xfId="4" applyFont="1" applyBorder="1" applyProtection="1">
      <protection locked="0"/>
    </xf>
    <xf numFmtId="0" fontId="59" fillId="23" borderId="119" xfId="4" applyFont="1" applyFill="1" applyBorder="1" applyAlignment="1">
      <alignment horizontal="center"/>
    </xf>
    <xf numFmtId="0" fontId="35" fillId="23" borderId="119" xfId="4" applyFont="1" applyFill="1" applyBorder="1" applyAlignment="1">
      <alignment horizontal="center" vertical="center"/>
    </xf>
    <xf numFmtId="0" fontId="35" fillId="23" borderId="120" xfId="4" applyFont="1" applyFill="1" applyBorder="1" applyAlignment="1">
      <alignment horizontal="center"/>
    </xf>
    <xf numFmtId="0" fontId="60" fillId="0" borderId="64" xfId="4" applyFont="1" applyBorder="1" applyAlignment="1" applyProtection="1">
      <alignment horizontal="center"/>
      <protection locked="0"/>
    </xf>
    <xf numFmtId="44" fontId="7" fillId="0" borderId="61" xfId="48" applyFont="1" applyBorder="1" applyAlignment="1" applyProtection="1"/>
    <xf numFmtId="0" fontId="44" fillId="0" borderId="68" xfId="4" applyFont="1" applyBorder="1" applyAlignment="1" applyProtection="1">
      <alignment horizontal="center"/>
      <protection locked="0"/>
    </xf>
    <xf numFmtId="0" fontId="7" fillId="0" borderId="99" xfId="4" applyFont="1" applyBorder="1" applyProtection="1">
      <protection locked="0"/>
    </xf>
    <xf numFmtId="0" fontId="7" fillId="0" borderId="77" xfId="4" applyFont="1" applyBorder="1" applyAlignment="1" applyProtection="1">
      <alignment vertical="center"/>
      <protection locked="0"/>
    </xf>
    <xf numFmtId="0" fontId="7" fillId="0" borderId="77" xfId="4" applyFont="1" applyBorder="1" applyProtection="1">
      <protection locked="0"/>
    </xf>
    <xf numFmtId="0" fontId="35" fillId="0" borderId="77" xfId="4" applyFont="1" applyBorder="1" applyProtection="1">
      <protection locked="0"/>
    </xf>
    <xf numFmtId="0" fontId="7" fillId="0" borderId="98" xfId="4" applyFont="1" applyBorder="1" applyProtection="1">
      <protection locked="0"/>
    </xf>
    <xf numFmtId="0" fontId="58" fillId="0" borderId="77" xfId="4" applyFont="1" applyBorder="1" applyAlignment="1" applyProtection="1">
      <alignment vertical="center"/>
      <protection locked="0"/>
    </xf>
    <xf numFmtId="0" fontId="58" fillId="0" borderId="77" xfId="4" applyFont="1" applyBorder="1" applyProtection="1">
      <protection locked="0"/>
    </xf>
    <xf numFmtId="0" fontId="35" fillId="0" borderId="77" xfId="4" applyFont="1" applyBorder="1" applyAlignment="1" applyProtection="1">
      <alignment vertical="center"/>
      <protection locked="0"/>
    </xf>
    <xf numFmtId="0" fontId="58" fillId="0" borderId="77" xfId="4" applyFont="1" applyBorder="1" applyAlignment="1" applyProtection="1">
      <alignment wrapText="1"/>
      <protection locked="0"/>
    </xf>
    <xf numFmtId="0" fontId="96" fillId="0" borderId="77" xfId="4" applyFont="1" applyBorder="1" applyAlignment="1" applyProtection="1">
      <alignment vertical="center"/>
      <protection locked="0"/>
    </xf>
    <xf numFmtId="0" fontId="96" fillId="0" borderId="77" xfId="4" applyFont="1" applyBorder="1" applyProtection="1">
      <protection locked="0"/>
    </xf>
    <xf numFmtId="44" fontId="7" fillId="0" borderId="99" xfId="48" applyFont="1" applyFill="1" applyBorder="1" applyAlignment="1" applyProtection="1">
      <protection locked="0"/>
    </xf>
    <xf numFmtId="0" fontId="33" fillId="0" borderId="0" xfId="4" applyFont="1" applyAlignment="1" applyProtection="1">
      <alignment horizontal="center" vertical="center"/>
      <protection locked="0"/>
    </xf>
    <xf numFmtId="0" fontId="7" fillId="0" borderId="0" xfId="4" applyFont="1" applyAlignment="1" applyProtection="1">
      <alignment horizontal="center" vertical="center"/>
      <protection locked="0"/>
    </xf>
    <xf numFmtId="0" fontId="7" fillId="0" borderId="0" xfId="4" applyFont="1" applyAlignment="1" applyProtection="1">
      <alignment horizontal="center" vertical="top"/>
      <protection locked="0"/>
    </xf>
    <xf numFmtId="0" fontId="35" fillId="0" borderId="0" xfId="4" applyFont="1" applyAlignment="1">
      <alignment horizontal="center" vertical="center"/>
    </xf>
    <xf numFmtId="0" fontId="35" fillId="23" borderId="20" xfId="4" applyFont="1" applyFill="1" applyBorder="1" applyAlignment="1">
      <alignment horizontal="center" indent="1"/>
    </xf>
    <xf numFmtId="0" fontId="34" fillId="0" borderId="22" xfId="4" applyFont="1" applyBorder="1" applyAlignment="1">
      <alignment horizontal="center" vertical="center"/>
    </xf>
    <xf numFmtId="0" fontId="7" fillId="0" borderId="0" xfId="4" applyFont="1" applyAlignment="1">
      <alignment horizontal="center"/>
    </xf>
    <xf numFmtId="0" fontId="7" fillId="0" borderId="0" xfId="4" applyFont="1" applyAlignment="1">
      <alignment horizontal="center" vertical="top" wrapText="1"/>
    </xf>
    <xf numFmtId="0" fontId="35" fillId="23" borderId="20" xfId="4" applyFont="1" applyFill="1" applyBorder="1" applyAlignment="1">
      <alignment horizontal="center"/>
    </xf>
    <xf numFmtId="0" fontId="7" fillId="0" borderId="99" xfId="4" applyFont="1" applyBorder="1" applyAlignment="1" applyProtection="1">
      <alignment horizontal="center"/>
      <protection locked="0"/>
    </xf>
    <xf numFmtId="39" fontId="35" fillId="0" borderId="0" xfId="4" applyNumberFormat="1" applyFont="1" applyAlignment="1">
      <alignment horizontal="center"/>
    </xf>
    <xf numFmtId="14" fontId="7" fillId="0" borderId="122" xfId="4" applyNumberFormat="1" applyFont="1" applyBorder="1" applyAlignment="1">
      <alignment horizontal="center" vertical="center"/>
    </xf>
    <xf numFmtId="169" fontId="35" fillId="0" borderId="0" xfId="4" applyNumberFormat="1" applyFont="1" applyAlignment="1">
      <alignment horizontal="right" vertical="center"/>
    </xf>
    <xf numFmtId="0" fontId="63" fillId="0" borderId="0" xfId="4" applyFont="1" applyAlignment="1">
      <alignment vertical="center"/>
    </xf>
    <xf numFmtId="0" fontId="34" fillId="0" borderId="0" xfId="4" applyFont="1" applyAlignment="1">
      <alignment horizontal="center" vertical="center"/>
    </xf>
    <xf numFmtId="169" fontId="35" fillId="21" borderId="66" xfId="48" applyNumberFormat="1" applyFont="1" applyFill="1" applyBorder="1" applyAlignment="1">
      <alignment horizontal="right" vertical="center"/>
    </xf>
    <xf numFmtId="0" fontId="79" fillId="0" borderId="0" xfId="4" applyFont="1" applyAlignment="1">
      <alignment vertical="center"/>
    </xf>
    <xf numFmtId="44" fontId="7" fillId="0" borderId="98" xfId="48" applyFont="1" applyFill="1" applyBorder="1" applyAlignment="1" applyProtection="1">
      <protection locked="0"/>
    </xf>
    <xf numFmtId="44" fontId="7" fillId="0" borderId="69" xfId="48" applyFont="1" applyBorder="1" applyAlignment="1" applyProtection="1"/>
    <xf numFmtId="0" fontId="7" fillId="0" borderId="98" xfId="4" applyFont="1" applyBorder="1" applyAlignment="1" applyProtection="1">
      <alignment horizontal="center" vertical="center"/>
      <protection locked="0"/>
    </xf>
    <xf numFmtId="0" fontId="35" fillId="0" borderId="2" xfId="4" applyFont="1" applyBorder="1" applyAlignment="1" applyProtection="1">
      <alignment horizontal="left" vertical="center" wrapText="1" indent="1"/>
      <protection locked="0"/>
    </xf>
    <xf numFmtId="169" fontId="51" fillId="0" borderId="0" xfId="0" applyNumberFormat="1" applyFont="1" applyAlignment="1">
      <alignment horizontal="left"/>
    </xf>
    <xf numFmtId="164" fontId="8" fillId="0" borderId="0" xfId="0" applyNumberFormat="1" applyFont="1"/>
    <xf numFmtId="0" fontId="56" fillId="0" borderId="93" xfId="4" applyFont="1" applyBorder="1" applyAlignment="1" applyProtection="1">
      <alignment horizontal="left" vertical="center" indent="1"/>
      <protection locked="0"/>
    </xf>
    <xf numFmtId="0" fontId="103" fillId="0" borderId="0" xfId="4" applyFont="1" applyAlignment="1" applyProtection="1">
      <alignment indent="1"/>
      <protection locked="0"/>
    </xf>
    <xf numFmtId="0" fontId="103" fillId="0" borderId="66" xfId="4" applyFont="1" applyBorder="1" applyAlignment="1" applyProtection="1">
      <alignment indent="1"/>
      <protection locked="0"/>
    </xf>
    <xf numFmtId="0" fontId="103" fillId="0" borderId="65" xfId="4" applyFont="1" applyBorder="1" applyAlignment="1" applyProtection="1">
      <alignment indent="1"/>
      <protection locked="0"/>
    </xf>
    <xf numFmtId="0" fontId="103" fillId="0" borderId="77" xfId="4" applyFont="1" applyBorder="1" applyAlignment="1" applyProtection="1">
      <alignment indent="1"/>
      <protection locked="0"/>
    </xf>
    <xf numFmtId="169" fontId="35" fillId="0" borderId="0" xfId="48" applyNumberFormat="1" applyFont="1" applyFill="1" applyBorder="1" applyAlignment="1">
      <alignment horizontal="right" vertical="center"/>
    </xf>
    <xf numFmtId="0" fontId="35" fillId="0" borderId="121" xfId="4" applyFont="1" applyBorder="1" applyProtection="1">
      <protection locked="0"/>
    </xf>
    <xf numFmtId="0" fontId="7" fillId="0" borderId="69" xfId="4" applyFont="1" applyBorder="1" applyProtection="1">
      <protection locked="0"/>
    </xf>
    <xf numFmtId="44" fontId="7" fillId="0" borderId="98" xfId="48" applyFont="1" applyBorder="1" applyAlignment="1" applyProtection="1">
      <protection locked="0"/>
    </xf>
    <xf numFmtId="169" fontId="7" fillId="0" borderId="69" xfId="48" applyNumberFormat="1" applyFont="1" applyBorder="1" applyAlignment="1" applyProtection="1"/>
    <xf numFmtId="169" fontId="35" fillId="0" borderId="68" xfId="48" applyNumberFormat="1" applyFont="1" applyFill="1" applyBorder="1" applyAlignment="1">
      <alignment horizontal="right" vertical="center"/>
    </xf>
    <xf numFmtId="0" fontId="35" fillId="23" borderId="0" xfId="4" applyFont="1" applyFill="1" applyAlignment="1">
      <alignment horizontal="right" vertical="center"/>
    </xf>
    <xf numFmtId="0" fontId="34" fillId="23" borderId="0" xfId="4" applyFont="1" applyFill="1" applyAlignment="1">
      <alignment vertical="center"/>
    </xf>
    <xf numFmtId="0" fontId="35" fillId="23" borderId="0" xfId="4" applyFont="1" applyFill="1" applyAlignment="1">
      <alignment vertical="center"/>
    </xf>
    <xf numFmtId="0" fontId="35" fillId="0" borderId="68" xfId="4" applyFont="1" applyBorder="1" applyAlignment="1">
      <alignment horizontal="right" vertical="center"/>
    </xf>
    <xf numFmtId="0" fontId="34" fillId="0" borderId="68" xfId="4" applyFont="1" applyBorder="1" applyAlignment="1">
      <alignment vertical="center"/>
    </xf>
    <xf numFmtId="169" fontId="35" fillId="23" borderId="0" xfId="48" applyNumberFormat="1" applyFont="1" applyFill="1" applyBorder="1" applyAlignment="1">
      <alignment horizontal="right" vertical="center"/>
    </xf>
    <xf numFmtId="0" fontId="0" fillId="23" borderId="0" xfId="0" applyFill="1"/>
    <xf numFmtId="0" fontId="82" fillId="0" borderId="2" xfId="4" applyFont="1" applyBorder="1" applyAlignment="1" applyProtection="1">
      <alignment indent="1"/>
      <protection locked="0"/>
    </xf>
    <xf numFmtId="176" fontId="0" fillId="22" borderId="0" xfId="0" applyNumberFormat="1" applyFill="1"/>
    <xf numFmtId="177" fontId="0" fillId="0" borderId="0" xfId="0" applyNumberFormat="1"/>
    <xf numFmtId="9" fontId="0" fillId="22" borderId="0" xfId="0" applyNumberFormat="1" applyFill="1" applyAlignment="1">
      <alignment horizontal="right"/>
    </xf>
    <xf numFmtId="169" fontId="0" fillId="0" borderId="0" xfId="0" applyNumberFormat="1" applyAlignment="1">
      <alignment horizontal="center"/>
    </xf>
    <xf numFmtId="0" fontId="50" fillId="0" borderId="0" xfId="0" applyFont="1"/>
    <xf numFmtId="0" fontId="105" fillId="0" borderId="66" xfId="0" applyFont="1" applyBorder="1"/>
    <xf numFmtId="0" fontId="85" fillId="0" borderId="0" xfId="0" applyFont="1"/>
    <xf numFmtId="0" fontId="50" fillId="0" borderId="2" xfId="0" applyFont="1" applyBorder="1" applyAlignment="1">
      <alignment horizontal="left" indent="1"/>
    </xf>
    <xf numFmtId="0" fontId="75" fillId="0" borderId="2" xfId="4" applyFont="1" applyBorder="1" applyAlignment="1" applyProtection="1">
      <alignment horizontal="left" vertical="center" indent="5"/>
      <protection locked="0"/>
    </xf>
    <xf numFmtId="44" fontId="0" fillId="0" borderId="0" xfId="0" applyNumberFormat="1" applyAlignment="1">
      <alignment horizontal="right"/>
    </xf>
    <xf numFmtId="0" fontId="3" fillId="0" borderId="0" xfId="0" applyFont="1"/>
    <xf numFmtId="44" fontId="3" fillId="0" borderId="0" xfId="48" applyFont="1" applyAlignment="1">
      <alignment horizontal="left"/>
    </xf>
    <xf numFmtId="44" fontId="3" fillId="0" borderId="0" xfId="48" applyFont="1" applyBorder="1" applyAlignment="1">
      <alignment horizontal="left" vertical="center" wrapText="1"/>
    </xf>
    <xf numFmtId="44" fontId="3" fillId="0" borderId="0" xfId="48" applyFont="1" applyBorder="1" applyAlignment="1">
      <alignment horizontal="center" vertical="center" wrapText="1"/>
    </xf>
    <xf numFmtId="44" fontId="3" fillId="0" borderId="0" xfId="48" applyFont="1" applyBorder="1" applyAlignment="1">
      <alignment horizontal="center" vertical="center"/>
    </xf>
    <xf numFmtId="0" fontId="3" fillId="0" borderId="0" xfId="0" applyFont="1" applyAlignment="1">
      <alignment horizontal="left"/>
    </xf>
    <xf numFmtId="0" fontId="59" fillId="0" borderId="0" xfId="4" applyFont="1" applyAlignment="1">
      <alignment horizontal="right" vertical="center"/>
    </xf>
    <xf numFmtId="0" fontId="56" fillId="0" borderId="0" xfId="4" applyFont="1" applyAlignment="1">
      <alignment horizontal="right" vertical="center"/>
    </xf>
    <xf numFmtId="0" fontId="59" fillId="23" borderId="0" xfId="4" applyFont="1" applyFill="1" applyAlignment="1">
      <alignment horizontal="right" vertical="center"/>
    </xf>
    <xf numFmtId="0" fontId="76" fillId="0" borderId="0" xfId="0" applyFont="1"/>
    <xf numFmtId="0" fontId="76" fillId="0" borderId="0" xfId="0" applyFont="1" applyAlignment="1">
      <alignment horizontal="right"/>
    </xf>
    <xf numFmtId="0" fontId="56" fillId="23" borderId="0" xfId="4" applyFont="1" applyFill="1" applyAlignment="1">
      <alignment horizontal="right" vertical="center"/>
    </xf>
    <xf numFmtId="43" fontId="0" fillId="0" borderId="0" xfId="0" applyNumberFormat="1" applyAlignment="1">
      <alignment horizontal="center"/>
    </xf>
    <xf numFmtId="0" fontId="51" fillId="44" borderId="0" xfId="0" applyFont="1" applyFill="1"/>
    <xf numFmtId="2" fontId="39" fillId="0" borderId="0" xfId="0" applyNumberFormat="1" applyFont="1"/>
    <xf numFmtId="2" fontId="0" fillId="0" borderId="0" xfId="0" applyNumberFormat="1"/>
    <xf numFmtId="172" fontId="0" fillId="45" borderId="0" xfId="0" applyNumberFormat="1" applyFill="1"/>
    <xf numFmtId="0" fontId="106" fillId="0" borderId="0" xfId="0" applyFont="1"/>
    <xf numFmtId="0" fontId="2" fillId="0" borderId="0" xfId="0" applyFont="1"/>
    <xf numFmtId="172" fontId="0" fillId="0" borderId="0" xfId="0" applyNumberFormat="1" applyAlignment="1">
      <alignment horizontal="center"/>
    </xf>
    <xf numFmtId="0" fontId="107" fillId="0" borderId="38" xfId="4" applyFont="1" applyBorder="1" applyProtection="1">
      <protection locked="0"/>
    </xf>
    <xf numFmtId="0" fontId="39" fillId="36" borderId="0" xfId="0" applyFont="1" applyFill="1" applyAlignment="1">
      <alignment horizontal="left" indent="1"/>
    </xf>
    <xf numFmtId="164" fontId="0" fillId="22" borderId="0" xfId="0" applyNumberFormat="1" applyFill="1"/>
    <xf numFmtId="0" fontId="60" fillId="0" borderId="0" xfId="2" applyFont="1" applyAlignment="1">
      <alignment wrapText="1"/>
    </xf>
    <xf numFmtId="0" fontId="1" fillId="0" borderId="0" xfId="0" applyFont="1"/>
    <xf numFmtId="0" fontId="1" fillId="0" borderId="0" xfId="0" applyFont="1" applyAlignment="1">
      <alignment horizontal="center"/>
    </xf>
    <xf numFmtId="43" fontId="1" fillId="0" borderId="0" xfId="0" applyNumberFormat="1" applyFont="1"/>
    <xf numFmtId="44" fontId="1" fillId="0" borderId="0" xfId="0" applyNumberFormat="1" applyFont="1"/>
    <xf numFmtId="169" fontId="1" fillId="0" borderId="0" xfId="0" applyNumberFormat="1" applyFont="1"/>
    <xf numFmtId="0" fontId="7" fillId="0" borderId="0" xfId="4" applyFont="1" applyAlignment="1" applyProtection="1">
      <alignment horizontal="center"/>
      <protection locked="0"/>
    </xf>
    <xf numFmtId="44" fontId="7" fillId="0" borderId="77" xfId="48" applyFont="1" applyBorder="1" applyAlignment="1" applyProtection="1">
      <protection locked="0"/>
    </xf>
    <xf numFmtId="169" fontId="35" fillId="22" borderId="69" xfId="48" applyNumberFormat="1" applyFont="1" applyFill="1" applyBorder="1" applyAlignment="1">
      <alignment horizontal="right" vertical="center"/>
    </xf>
    <xf numFmtId="0" fontId="39" fillId="0" borderId="55" xfId="0" applyFont="1" applyBorder="1" applyAlignment="1">
      <alignment horizontal="center"/>
    </xf>
    <xf numFmtId="0" fontId="35" fillId="0" borderId="58" xfId="4" applyFont="1" applyBorder="1" applyAlignment="1">
      <alignment horizontal="right" vertical="center"/>
    </xf>
    <xf numFmtId="0" fontId="35" fillId="0" borderId="63" xfId="4" applyFont="1" applyBorder="1" applyAlignment="1">
      <alignment horizontal="right" vertical="center"/>
    </xf>
    <xf numFmtId="0" fontId="67" fillId="0" borderId="105" xfId="4" applyFont="1" applyBorder="1" applyAlignment="1" applyProtection="1">
      <alignment horizontal="center" vertical="center"/>
      <protection locked="0"/>
    </xf>
    <xf numFmtId="0" fontId="67" fillId="0" borderId="79" xfId="4" applyFont="1" applyBorder="1" applyAlignment="1" applyProtection="1">
      <alignment horizontal="center" vertical="center"/>
      <protection locked="0"/>
    </xf>
    <xf numFmtId="0" fontId="67" fillId="0" borderId="106" xfId="4" applyFont="1" applyBorder="1" applyAlignment="1" applyProtection="1">
      <alignment horizontal="center" vertical="center"/>
      <protection locked="0"/>
    </xf>
    <xf numFmtId="0" fontId="67" fillId="0" borderId="107" xfId="4" applyFont="1" applyBorder="1" applyAlignment="1" applyProtection="1">
      <alignment horizontal="center" vertical="center"/>
      <protection locked="0"/>
    </xf>
    <xf numFmtId="0" fontId="67" fillId="0" borderId="108" xfId="4" applyFont="1" applyBorder="1" applyAlignment="1" applyProtection="1">
      <alignment horizontal="center" vertical="center"/>
      <protection locked="0"/>
    </xf>
    <xf numFmtId="0" fontId="67" fillId="0" borderId="109" xfId="4" applyFont="1" applyBorder="1" applyAlignment="1" applyProtection="1">
      <alignment horizontal="center" vertical="center"/>
      <protection locked="0"/>
    </xf>
    <xf numFmtId="0" fontId="37" fillId="23" borderId="102" xfId="4" applyFont="1" applyFill="1" applyBorder="1" applyAlignment="1">
      <alignment horizontal="center" vertical="center"/>
    </xf>
    <xf numFmtId="0" fontId="37" fillId="23" borderId="103" xfId="4" applyFont="1" applyFill="1" applyBorder="1" applyAlignment="1">
      <alignment horizontal="center" vertical="center"/>
    </xf>
    <xf numFmtId="0" fontId="37" fillId="23" borderId="104" xfId="4" applyFont="1" applyFill="1" applyBorder="1" applyAlignment="1">
      <alignment horizontal="center" vertical="center"/>
    </xf>
    <xf numFmtId="0" fontId="35" fillId="0" borderId="59" xfId="4" applyFont="1" applyBorder="1" applyAlignment="1">
      <alignment horizontal="right" vertical="center"/>
    </xf>
    <xf numFmtId="0" fontId="59" fillId="0" borderId="58" xfId="0" applyFont="1" applyBorder="1" applyAlignment="1">
      <alignment horizontal="right" vertical="center"/>
    </xf>
    <xf numFmtId="0" fontId="59" fillId="0" borderId="63" xfId="0" applyFont="1" applyBorder="1" applyAlignment="1">
      <alignment horizontal="right" vertical="center"/>
    </xf>
    <xf numFmtId="0" fontId="59" fillId="22" borderId="67" xfId="0" applyFont="1" applyFill="1" applyBorder="1" applyAlignment="1">
      <alignment horizontal="right" vertical="center"/>
    </xf>
    <xf numFmtId="0" fontId="35" fillId="0" borderId="58" xfId="4" applyFont="1" applyBorder="1" applyAlignment="1">
      <alignment horizontal="center" vertical="center"/>
    </xf>
    <xf numFmtId="0" fontId="35" fillId="0" borderId="63" xfId="4" applyFont="1" applyBorder="1" applyAlignment="1">
      <alignment horizontal="center" vertical="center"/>
    </xf>
    <xf numFmtId="0" fontId="35" fillId="0" borderId="59" xfId="4" applyFont="1" applyBorder="1" applyAlignment="1">
      <alignment horizontal="center" vertical="center"/>
    </xf>
    <xf numFmtId="0" fontId="71" fillId="0" borderId="0" xfId="4" applyFont="1" applyAlignment="1">
      <alignment horizontal="center"/>
    </xf>
    <xf numFmtId="0" fontId="69" fillId="0" borderId="68" xfId="4" applyFont="1" applyBorder="1" applyAlignment="1">
      <alignment horizontal="center" vertical="center"/>
    </xf>
    <xf numFmtId="0" fontId="35" fillId="21" borderId="58" xfId="4" applyFont="1" applyFill="1" applyBorder="1" applyAlignment="1">
      <alignment horizontal="right" vertical="center"/>
    </xf>
    <xf numFmtId="0" fontId="35" fillId="21" borderId="63" xfId="4" applyFont="1" applyFill="1" applyBorder="1" applyAlignment="1">
      <alignment horizontal="right" vertical="center"/>
    </xf>
    <xf numFmtId="0" fontId="79" fillId="0" borderId="0" xfId="4" applyFont="1" applyAlignment="1">
      <alignment horizontal="left" vertical="center" wrapText="1"/>
    </xf>
    <xf numFmtId="0" fontId="59" fillId="0" borderId="58" xfId="4" applyFont="1" applyBorder="1" applyAlignment="1">
      <alignment horizontal="right" vertical="center"/>
    </xf>
    <xf numFmtId="0" fontId="59" fillId="0" borderId="63" xfId="4" applyFont="1" applyBorder="1" applyAlignment="1">
      <alignment horizontal="right" vertical="center"/>
    </xf>
    <xf numFmtId="0" fontId="59" fillId="0" borderId="64" xfId="4" applyFont="1" applyBorder="1" applyAlignment="1">
      <alignment horizontal="center"/>
    </xf>
    <xf numFmtId="0" fontId="81" fillId="0" borderId="0" xfId="0" applyFont="1" applyAlignment="1">
      <alignment horizontal="left" vertical="center" wrapText="1"/>
    </xf>
    <xf numFmtId="0" fontId="59" fillId="22" borderId="58" xfId="4" applyFont="1" applyFill="1" applyBorder="1" applyAlignment="1">
      <alignment horizontal="right" vertical="center"/>
    </xf>
    <xf numFmtId="0" fontId="59" fillId="22" borderId="63" xfId="4" applyFont="1" applyFill="1" applyBorder="1" applyAlignment="1">
      <alignment horizontal="right" vertical="center"/>
    </xf>
    <xf numFmtId="0" fontId="35" fillId="23" borderId="94" xfId="4" applyFont="1" applyFill="1" applyBorder="1" applyAlignment="1">
      <alignment horizontal="center" vertical="center"/>
    </xf>
    <xf numFmtId="1" fontId="7" fillId="0" borderId="2" xfId="4" quotePrefix="1" applyNumberFormat="1" applyFont="1" applyBorder="1" applyAlignment="1">
      <alignment horizontal="center" vertical="center" wrapText="1"/>
    </xf>
    <xf numFmtId="1" fontId="7" fillId="0" borderId="2" xfId="4" applyNumberFormat="1" applyFont="1" applyBorder="1" applyAlignment="1">
      <alignment horizontal="center" vertical="center"/>
    </xf>
    <xf numFmtId="0" fontId="35" fillId="23" borderId="58" xfId="4" applyFont="1" applyFill="1" applyBorder="1" applyAlignment="1">
      <alignment horizontal="center" vertical="center"/>
    </xf>
    <xf numFmtId="0" fontId="59" fillId="23" borderId="58" xfId="4"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8" fillId="0" borderId="55" xfId="0" applyFont="1" applyBorder="1" applyAlignment="1">
      <alignment horizontal="center"/>
    </xf>
    <xf numFmtId="0" fontId="66" fillId="23" borderId="100" xfId="0" applyFont="1" applyFill="1" applyBorder="1" applyAlignment="1">
      <alignment horizontal="center"/>
    </xf>
    <xf numFmtId="0" fontId="66" fillId="23" borderId="101" xfId="0" applyFont="1" applyFill="1" applyBorder="1" applyAlignment="1">
      <alignment horizontal="center"/>
    </xf>
    <xf numFmtId="0" fontId="39" fillId="0" borderId="0" xfId="0" applyFont="1" applyAlignment="1">
      <alignment horizontal="center" wrapText="1"/>
    </xf>
    <xf numFmtId="0" fontId="39" fillId="0" borderId="0" xfId="0" applyFont="1" applyAlignment="1">
      <alignment horizontal="center"/>
    </xf>
    <xf numFmtId="0" fontId="66" fillId="23" borderId="55" xfId="0" applyFont="1" applyFill="1" applyBorder="1" applyAlignment="1">
      <alignment horizontal="center"/>
    </xf>
    <xf numFmtId="0" fontId="39" fillId="39" borderId="0" xfId="0" applyFont="1" applyFill="1" applyAlignment="1">
      <alignment horizontal="center"/>
    </xf>
    <xf numFmtId="0" fontId="65" fillId="41" borderId="55" xfId="0" applyFont="1" applyFill="1" applyBorder="1" applyAlignment="1">
      <alignment horizontal="center" vertical="top"/>
    </xf>
    <xf numFmtId="0" fontId="68" fillId="0" borderId="28" xfId="0" applyFont="1" applyBorder="1"/>
    <xf numFmtId="0" fontId="68" fillId="0" borderId="28" xfId="0" applyFont="1" applyBorder="1" applyAlignment="1">
      <alignment horizontal="center"/>
    </xf>
    <xf numFmtId="0" fontId="0" fillId="45" borderId="78" xfId="0" applyFill="1" applyBorder="1" applyAlignment="1">
      <alignment horizontal="center" vertical="center" wrapText="1"/>
    </xf>
    <xf numFmtId="0" fontId="0" fillId="45" borderId="78" xfId="0" applyFill="1" applyBorder="1" applyAlignment="1">
      <alignment horizontal="center" vertical="center"/>
    </xf>
    <xf numFmtId="0" fontId="86" fillId="41" borderId="55" xfId="0" applyFont="1" applyFill="1" applyBorder="1" applyAlignment="1">
      <alignment horizontal="center"/>
    </xf>
    <xf numFmtId="0" fontId="87" fillId="41" borderId="55" xfId="0" applyFont="1" applyFill="1" applyBorder="1" applyAlignment="1">
      <alignment horizontal="center"/>
    </xf>
    <xf numFmtId="0" fontId="65" fillId="41" borderId="0" xfId="0" applyFont="1" applyFill="1" applyAlignment="1">
      <alignment horizontal="center" vertical="top"/>
    </xf>
    <xf numFmtId="0" fontId="65" fillId="41" borderId="55" xfId="0" applyFont="1" applyFill="1" applyBorder="1" applyAlignment="1">
      <alignment horizontal="center"/>
    </xf>
    <xf numFmtId="0" fontId="0" fillId="22" borderId="78" xfId="0" applyFill="1" applyBorder="1" applyAlignment="1">
      <alignment horizontal="center" vertical="center" wrapText="1"/>
    </xf>
    <xf numFmtId="0" fontId="0" fillId="22" borderId="78" xfId="0" applyFill="1" applyBorder="1" applyAlignment="1">
      <alignment horizontal="center" vertical="center"/>
    </xf>
    <xf numFmtId="0" fontId="55" fillId="0" borderId="28" xfId="0" applyFont="1" applyBorder="1" applyAlignment="1">
      <alignment horizontal="center" vertical="center"/>
    </xf>
    <xf numFmtId="1" fontId="7" fillId="0" borderId="2" xfId="4" applyNumberFormat="1" applyFont="1" applyBorder="1" applyAlignment="1">
      <alignment horizontal="center" vertical="center" wrapText="1"/>
    </xf>
    <xf numFmtId="1" fontId="7" fillId="0" borderId="121" xfId="4" applyNumberFormat="1" applyFont="1" applyBorder="1" applyAlignment="1">
      <alignment horizontal="center" vertical="center"/>
    </xf>
    <xf numFmtId="0" fontId="59" fillId="0" borderId="0" xfId="4" applyFont="1" applyAlignment="1">
      <alignment horizontal="center"/>
    </xf>
    <xf numFmtId="0" fontId="35" fillId="0" borderId="0" xfId="4" applyFont="1" applyAlignment="1">
      <alignment horizontal="right" vertical="center"/>
    </xf>
    <xf numFmtId="0" fontId="79" fillId="0" borderId="0" xfId="0" applyFont="1" applyAlignment="1">
      <alignment horizontal="left" wrapText="1"/>
    </xf>
    <xf numFmtId="0" fontId="102" fillId="0" borderId="0" xfId="0" applyFont="1" applyAlignment="1">
      <alignment horizontal="left" wrapText="1"/>
    </xf>
    <xf numFmtId="0" fontId="0" fillId="0" borderId="64" xfId="0" applyBorder="1" applyAlignment="1">
      <alignment horizontal="left" wrapText="1" indent="1"/>
    </xf>
    <xf numFmtId="0" fontId="90" fillId="0" borderId="0" xfId="0" applyFont="1" applyAlignment="1">
      <alignment horizontal="center"/>
    </xf>
    <xf numFmtId="0" fontId="93" fillId="43" borderId="99" xfId="0" applyFont="1" applyFill="1" applyBorder="1" applyAlignment="1">
      <alignment horizontal="center" vertical="center"/>
    </xf>
    <xf numFmtId="0" fontId="93" fillId="43" borderId="98" xfId="0" applyFont="1" applyFill="1" applyBorder="1" applyAlignment="1">
      <alignment horizontal="center" vertical="center"/>
    </xf>
    <xf numFmtId="0" fontId="0" fillId="0" borderId="0" xfId="0" applyAlignment="1">
      <alignment horizontal="left" vertical="center" wrapText="1" indent="1"/>
    </xf>
    <xf numFmtId="0" fontId="39" fillId="0" borderId="68" xfId="0" applyFont="1" applyBorder="1" applyAlignment="1">
      <alignment horizontal="center"/>
    </xf>
    <xf numFmtId="0" fontId="39" fillId="0" borderId="0" xfId="0" applyFont="1" applyAlignment="1">
      <alignment horizontal="center" vertical="center"/>
    </xf>
    <xf numFmtId="0" fontId="39" fillId="0" borderId="68" xfId="0" applyFont="1" applyBorder="1" applyAlignment="1">
      <alignment horizontal="center" vertical="center"/>
    </xf>
    <xf numFmtId="175" fontId="0" fillId="0" borderId="0" xfId="0" applyNumberFormat="1" applyAlignment="1">
      <alignment horizontal="left"/>
    </xf>
    <xf numFmtId="0" fontId="82" fillId="0" borderId="2" xfId="4" applyFont="1" applyBorder="1" applyAlignment="1" applyProtection="1">
      <alignment horizontal="left" wrapText="1" indent="1"/>
      <protection locked="0"/>
    </xf>
    <xf numFmtId="0" fontId="82" fillId="0" borderId="0" xfId="4" applyFont="1" applyAlignment="1" applyProtection="1">
      <alignment horizontal="left" wrapText="1" indent="1"/>
      <protection locked="0"/>
    </xf>
    <xf numFmtId="0" fontId="82" fillId="0" borderId="66" xfId="4" applyFont="1" applyBorder="1" applyAlignment="1" applyProtection="1">
      <alignment horizontal="left" wrapText="1" indent="1"/>
      <protection locked="0"/>
    </xf>
    <xf numFmtId="0" fontId="82" fillId="0" borderId="2" xfId="4" applyFont="1" applyBorder="1" applyAlignment="1" applyProtection="1">
      <alignment horizontal="left" indent="1"/>
      <protection locked="0"/>
    </xf>
    <xf numFmtId="0" fontId="82" fillId="0" borderId="0" xfId="4" applyFont="1" applyAlignment="1" applyProtection="1">
      <alignment horizontal="left" indent="1"/>
      <protection locked="0"/>
    </xf>
    <xf numFmtId="0" fontId="82" fillId="0" borderId="66" xfId="4" applyFont="1" applyBorder="1" applyAlignment="1" applyProtection="1">
      <alignment horizontal="left" indent="1"/>
      <protection locked="0"/>
    </xf>
    <xf numFmtId="0" fontId="35" fillId="23" borderId="0" xfId="4" applyFont="1" applyFill="1" applyAlignment="1">
      <alignment horizontal="right" vertical="center"/>
    </xf>
    <xf numFmtId="0" fontId="35" fillId="0" borderId="68" xfId="4" applyFont="1" applyBorder="1" applyAlignment="1">
      <alignment horizontal="right" vertical="center"/>
    </xf>
    <xf numFmtId="0" fontId="59" fillId="0" borderId="0" xfId="4" applyFont="1" applyAlignment="1">
      <alignment horizontal="right" vertical="center"/>
    </xf>
    <xf numFmtId="0" fontId="59" fillId="23" borderId="0" xfId="4" applyFont="1" applyFill="1" applyAlignment="1">
      <alignment horizontal="right" vertical="center"/>
    </xf>
    <xf numFmtId="0" fontId="98" fillId="0" borderId="0" xfId="4" applyFont="1" applyAlignment="1">
      <alignment horizontal="left" vertical="center" wrapText="1"/>
    </xf>
    <xf numFmtId="0" fontId="103" fillId="0" borderId="0" xfId="4" applyFont="1" applyAlignment="1">
      <alignment horizontal="left" vertical="center" wrapText="1"/>
    </xf>
    <xf numFmtId="0" fontId="79" fillId="0" borderId="0" xfId="4" applyFont="1" applyAlignment="1">
      <alignment horizontal="center" vertical="center" wrapText="1"/>
    </xf>
    <xf numFmtId="0" fontId="67" fillId="0" borderId="20" xfId="4" applyFont="1" applyBorder="1" applyAlignment="1" applyProtection="1">
      <alignment horizontal="center" vertical="center"/>
      <protection locked="0"/>
    </xf>
    <xf numFmtId="0" fontId="67" fillId="0" borderId="91" xfId="4" applyFont="1" applyBorder="1" applyAlignment="1" applyProtection="1">
      <alignment horizontal="center" vertical="center"/>
      <protection locked="0"/>
    </xf>
    <xf numFmtId="0" fontId="67" fillId="0" borderId="21" xfId="4" applyFont="1" applyBorder="1" applyAlignment="1" applyProtection="1">
      <alignment horizontal="center" vertical="center"/>
      <protection locked="0"/>
    </xf>
    <xf numFmtId="0" fontId="67" fillId="0" borderId="22" xfId="4" applyFont="1" applyBorder="1" applyAlignment="1" applyProtection="1">
      <alignment horizontal="center" vertical="center"/>
      <protection locked="0"/>
    </xf>
    <xf numFmtId="0" fontId="67" fillId="0" borderId="23" xfId="4" applyFont="1" applyBorder="1" applyAlignment="1" applyProtection="1">
      <alignment horizontal="center" vertical="center"/>
      <protection locked="0"/>
    </xf>
    <xf numFmtId="0" fontId="37" fillId="23" borderId="24" xfId="4" applyFont="1" applyFill="1" applyBorder="1" applyAlignment="1">
      <alignment horizontal="center" vertical="center"/>
    </xf>
    <xf numFmtId="0" fontId="37" fillId="23" borderId="25" xfId="4" applyFont="1" applyFill="1" applyBorder="1" applyAlignment="1">
      <alignment horizontal="center" vertical="center"/>
    </xf>
    <xf numFmtId="0" fontId="37" fillId="23" borderId="31" xfId="4" applyFont="1" applyFill="1" applyBorder="1" applyAlignment="1">
      <alignment horizontal="center" vertical="center"/>
    </xf>
    <xf numFmtId="0" fontId="35" fillId="23" borderId="41" xfId="4" applyFont="1" applyFill="1" applyBorder="1" applyAlignment="1">
      <alignment horizontal="center" vertical="center"/>
    </xf>
    <xf numFmtId="0" fontId="35" fillId="23" borderId="42" xfId="4" applyFont="1" applyFill="1" applyBorder="1" applyAlignment="1">
      <alignment horizontal="center" vertical="center"/>
    </xf>
    <xf numFmtId="0" fontId="35" fillId="23" borderId="59" xfId="4" applyFont="1" applyFill="1" applyBorder="1" applyAlignment="1">
      <alignment horizontal="center" vertical="center"/>
    </xf>
    <xf numFmtId="1" fontId="7" fillId="0" borderId="40" xfId="4" applyNumberFormat="1" applyFont="1" applyBorder="1" applyAlignment="1">
      <alignment horizontal="center" vertical="center"/>
    </xf>
    <xf numFmtId="1" fontId="7" fillId="0" borderId="30" xfId="4" applyNumberFormat="1" applyFont="1" applyBorder="1" applyAlignment="1">
      <alignment horizontal="center" vertical="center"/>
    </xf>
    <xf numFmtId="0" fontId="7" fillId="0" borderId="0" xfId="4" applyFont="1" applyAlignment="1">
      <alignment horizontal="center" vertical="center"/>
    </xf>
    <xf numFmtId="0" fontId="35" fillId="0" borderId="56" xfId="4" applyFont="1" applyBorder="1" applyAlignment="1">
      <alignment horizontal="right" vertical="center"/>
    </xf>
    <xf numFmtId="0" fontId="35" fillId="0" borderId="57" xfId="4" applyFont="1" applyBorder="1" applyAlignment="1">
      <alignment horizontal="right" vertical="center"/>
    </xf>
    <xf numFmtId="0" fontId="59" fillId="0" borderId="58" xfId="0" applyFont="1" applyBorder="1" applyAlignment="1">
      <alignment horizontal="right"/>
    </xf>
    <xf numFmtId="0" fontId="59" fillId="0" borderId="63" xfId="0" applyFont="1" applyBorder="1" applyAlignment="1">
      <alignment horizontal="right"/>
    </xf>
    <xf numFmtId="0" fontId="35" fillId="0" borderId="60" xfId="4" applyFont="1" applyBorder="1" applyAlignment="1">
      <alignment horizontal="right" vertical="center"/>
    </xf>
    <xf numFmtId="0" fontId="35" fillId="0" borderId="64" xfId="4" applyFont="1" applyBorder="1" applyAlignment="1">
      <alignment horizontal="right" vertical="center"/>
    </xf>
    <xf numFmtId="0" fontId="7" fillId="0" borderId="2" xfId="4" applyFont="1" applyBorder="1" applyAlignment="1" applyProtection="1">
      <alignment horizontal="left" vertical="top" wrapText="1" indent="3"/>
      <protection locked="0"/>
    </xf>
    <xf numFmtId="0" fontId="7" fillId="0" borderId="0" xfId="4" applyFont="1" applyAlignment="1" applyProtection="1">
      <alignment horizontal="left" vertical="top" wrapText="1" indent="3"/>
      <protection locked="0"/>
    </xf>
    <xf numFmtId="0" fontId="35" fillId="0" borderId="2" xfId="4" applyFont="1" applyBorder="1" applyAlignment="1" applyProtection="1">
      <alignment horizontal="left" vertical="center" indent="2"/>
      <protection locked="0"/>
    </xf>
    <xf numFmtId="0" fontId="35" fillId="0" borderId="0" xfId="4" applyFont="1" applyAlignment="1" applyProtection="1">
      <alignment horizontal="left" vertical="center" indent="2"/>
      <protection locked="0"/>
    </xf>
    <xf numFmtId="0" fontId="35" fillId="0" borderId="76" xfId="4" applyFont="1" applyBorder="1" applyAlignment="1" applyProtection="1">
      <alignment horizontal="left" vertical="center" indent="2"/>
      <protection locked="0"/>
    </xf>
    <xf numFmtId="0" fontId="7" fillId="0" borderId="76" xfId="4" applyFont="1" applyBorder="1" applyAlignment="1" applyProtection="1">
      <alignment horizontal="left" vertical="top" wrapText="1" indent="3"/>
      <protection locked="0"/>
    </xf>
    <xf numFmtId="0" fontId="56" fillId="0" borderId="70" xfId="4" applyFont="1" applyBorder="1" applyAlignment="1" applyProtection="1">
      <alignment horizontal="left" vertical="center"/>
      <protection locked="0"/>
    </xf>
    <xf numFmtId="0" fontId="56" fillId="0" borderId="55" xfId="4" applyFont="1" applyBorder="1" applyAlignment="1" applyProtection="1">
      <alignment horizontal="left" vertical="center"/>
      <protection locked="0"/>
    </xf>
    <xf numFmtId="0" fontId="56" fillId="0" borderId="89" xfId="4" applyFont="1" applyBorder="1" applyAlignment="1" applyProtection="1">
      <alignment horizontal="left" vertical="center"/>
      <protection locked="0"/>
    </xf>
    <xf numFmtId="0" fontId="56" fillId="0" borderId="110" xfId="4" applyFont="1" applyBorder="1" applyAlignment="1" applyProtection="1">
      <alignment horizontal="left" vertical="center"/>
      <protection locked="0"/>
    </xf>
    <xf numFmtId="0" fontId="32" fillId="0" borderId="0" xfId="4" applyFont="1" applyAlignment="1">
      <alignment horizontal="center"/>
    </xf>
    <xf numFmtId="0" fontId="34" fillId="0" borderId="68" xfId="4" applyFont="1" applyBorder="1" applyAlignment="1">
      <alignment horizontal="center" vertical="center"/>
    </xf>
    <xf numFmtId="0" fontId="80" fillId="0" borderId="0" xfId="4" applyFont="1" applyAlignment="1">
      <alignment horizontal="left" vertical="center"/>
    </xf>
    <xf numFmtId="0" fontId="39" fillId="0" borderId="0" xfId="0" applyFont="1" applyAlignment="1">
      <alignment horizontal="center" vertical="center" wrapText="1"/>
    </xf>
    <xf numFmtId="0" fontId="0" fillId="0" borderId="0" xfId="0" applyAlignment="1">
      <alignment horizontal="center"/>
    </xf>
    <xf numFmtId="0" fontId="6" fillId="0" borderId="2" xfId="0" applyFont="1" applyBorder="1" applyAlignment="1">
      <alignment horizontal="left" vertical="top" wrapText="1" indent="3"/>
    </xf>
    <xf numFmtId="0" fontId="6" fillId="0" borderId="0" xfId="0" applyFont="1" applyAlignment="1">
      <alignment horizontal="left" vertical="top" wrapText="1" indent="3"/>
    </xf>
    <xf numFmtId="0" fontId="35" fillId="0" borderId="86" xfId="4" applyFont="1" applyBorder="1" applyAlignment="1">
      <alignment horizontal="right" vertical="center"/>
    </xf>
    <xf numFmtId="0" fontId="50" fillId="0" borderId="2" xfId="0" applyFont="1" applyBorder="1" applyAlignment="1">
      <alignment horizontal="left" vertical="top" wrapText="1" indent="2"/>
    </xf>
    <xf numFmtId="0" fontId="50" fillId="0" borderId="0" xfId="0" applyFont="1" applyAlignment="1">
      <alignment horizontal="left" vertical="top" wrapText="1" indent="2"/>
    </xf>
    <xf numFmtId="0" fontId="60" fillId="0" borderId="64" xfId="4" applyFont="1" applyBorder="1" applyAlignment="1">
      <alignment horizontal="left"/>
    </xf>
    <xf numFmtId="0" fontId="35" fillId="0" borderId="55" xfId="4" applyFont="1" applyBorder="1" applyAlignment="1" applyProtection="1">
      <alignment horizontal="left" vertical="center"/>
      <protection locked="0"/>
    </xf>
    <xf numFmtId="0" fontId="67" fillId="0" borderId="79" xfId="4" applyFont="1" applyBorder="1" applyAlignment="1" applyProtection="1">
      <alignment horizontal="center" vertical="center" wrapText="1"/>
      <protection locked="0"/>
    </xf>
    <xf numFmtId="0" fontId="67" fillId="0" borderId="20" xfId="4" applyFont="1" applyBorder="1" applyAlignment="1" applyProtection="1">
      <alignment horizontal="center" vertical="center" wrapText="1"/>
      <protection locked="0"/>
    </xf>
    <xf numFmtId="0" fontId="67" fillId="0" borderId="91" xfId="4" applyFont="1" applyBorder="1" applyAlignment="1" applyProtection="1">
      <alignment horizontal="center" vertical="center" wrapText="1"/>
      <protection locked="0"/>
    </xf>
    <xf numFmtId="0" fontId="67" fillId="0" borderId="21" xfId="4" applyFont="1" applyBorder="1" applyAlignment="1" applyProtection="1">
      <alignment horizontal="center" vertical="center" wrapText="1"/>
      <protection locked="0"/>
    </xf>
    <xf numFmtId="0" fontId="67" fillId="0" borderId="22" xfId="4" applyFont="1" applyBorder="1" applyAlignment="1" applyProtection="1">
      <alignment horizontal="center" vertical="center" wrapText="1"/>
      <protection locked="0"/>
    </xf>
    <xf numFmtId="0" fontId="67" fillId="0" borderId="23" xfId="4" applyFont="1" applyBorder="1" applyAlignment="1" applyProtection="1">
      <alignment horizontal="center" vertical="center" wrapText="1"/>
      <protection locked="0"/>
    </xf>
    <xf numFmtId="0" fontId="35" fillId="23" borderId="16" xfId="4" applyFont="1" applyFill="1" applyBorder="1" applyAlignment="1">
      <alignment horizontal="left" vertical="center"/>
    </xf>
    <xf numFmtId="0" fontId="35" fillId="23" borderId="19" xfId="4" applyFont="1" applyFill="1" applyBorder="1" applyAlignment="1">
      <alignment horizontal="left" vertical="center"/>
    </xf>
    <xf numFmtId="1" fontId="7" fillId="0" borderId="44" xfId="4" applyNumberFormat="1" applyFont="1" applyBorder="1" applyAlignment="1">
      <alignment horizontal="center" vertical="center"/>
    </xf>
    <xf numFmtId="1" fontId="7" fillId="0" borderId="17" xfId="4" applyNumberFormat="1" applyFont="1" applyBorder="1" applyAlignment="1">
      <alignment horizontal="center" vertical="center"/>
    </xf>
    <xf numFmtId="0" fontId="35" fillId="0" borderId="2" xfId="4" applyFont="1" applyBorder="1" applyAlignment="1" applyProtection="1">
      <alignment horizontal="left" vertical="center" indent="1"/>
      <protection locked="0"/>
    </xf>
    <xf numFmtId="0" fontId="35" fillId="0" borderId="0" xfId="4" applyFont="1" applyAlignment="1" applyProtection="1">
      <alignment horizontal="left" vertical="center" indent="1"/>
      <protection locked="0"/>
    </xf>
    <xf numFmtId="0" fontId="63" fillId="0" borderId="68" xfId="4" applyFont="1" applyBorder="1" applyAlignment="1">
      <alignment horizontal="center" vertical="center"/>
    </xf>
    <xf numFmtId="0" fontId="60" fillId="0" borderId="0" xfId="4" applyFont="1" applyAlignment="1">
      <alignment horizontal="center"/>
    </xf>
    <xf numFmtId="0" fontId="60" fillId="0" borderId="64" xfId="4" applyFont="1" applyBorder="1" applyAlignment="1">
      <alignment horizontal="center"/>
    </xf>
    <xf numFmtId="0" fontId="47" fillId="0" borderId="0" xfId="0" applyFont="1" applyAlignment="1">
      <alignment horizontal="right" vertical="center" wrapText="1"/>
    </xf>
    <xf numFmtId="0" fontId="6" fillId="0" borderId="0" xfId="0" applyFont="1" applyAlignment="1">
      <alignment horizontal="center" vertical="center"/>
    </xf>
    <xf numFmtId="0" fontId="50" fillId="0" borderId="0" xfId="0" applyFont="1" applyAlignment="1">
      <alignment horizontal="right" vertical="center"/>
    </xf>
    <xf numFmtId="0" fontId="8" fillId="0" borderId="0" xfId="0" applyFont="1" applyAlignment="1">
      <alignment horizontal="center"/>
    </xf>
    <xf numFmtId="0" fontId="59" fillId="0" borderId="55" xfId="0" applyFont="1" applyBorder="1" applyAlignment="1">
      <alignment horizontal="center"/>
    </xf>
    <xf numFmtId="0" fontId="76" fillId="0" borderId="0" xfId="0" applyFont="1" applyAlignment="1">
      <alignment horizontal="left" vertical="top" wrapText="1"/>
    </xf>
    <xf numFmtId="14" fontId="0" fillId="0" borderId="0" xfId="0" applyNumberFormat="1" applyAlignment="1">
      <alignment horizontal="center"/>
    </xf>
    <xf numFmtId="0" fontId="91" fillId="0" borderId="55" xfId="0" applyFont="1" applyBorder="1" applyAlignment="1">
      <alignment horizontal="center"/>
    </xf>
    <xf numFmtId="0" fontId="35" fillId="0" borderId="65" xfId="4" applyFont="1" applyBorder="1" applyAlignment="1">
      <alignment horizontal="right" vertical="center"/>
    </xf>
    <xf numFmtId="0" fontId="35" fillId="23" borderId="113" xfId="4" applyFont="1" applyFill="1" applyBorder="1" applyAlignment="1">
      <alignment horizontal="left"/>
    </xf>
    <xf numFmtId="0" fontId="35" fillId="23" borderId="80" xfId="4" applyFont="1" applyFill="1" applyBorder="1" applyAlignment="1">
      <alignment horizontal="left"/>
    </xf>
    <xf numFmtId="0" fontId="35" fillId="23" borderId="114" xfId="4" applyFont="1" applyFill="1" applyBorder="1" applyAlignment="1">
      <alignment horizontal="left"/>
    </xf>
    <xf numFmtId="0" fontId="59" fillId="0" borderId="67" xfId="0" applyFont="1" applyBorder="1" applyAlignment="1">
      <alignment horizontal="right" vertical="center"/>
    </xf>
    <xf numFmtId="0" fontId="35" fillId="21" borderId="67" xfId="4" applyFont="1" applyFill="1" applyBorder="1" applyAlignment="1">
      <alignment horizontal="right" vertical="center"/>
    </xf>
  </cellXfs>
  <cellStyles count="51">
    <cellStyle name="20% - Accent1 2" xfId="5" xr:uid="{3A40FA53-412C-410A-B98C-0478A64263BA}"/>
    <cellStyle name="20% - Accent2 2" xfId="6" xr:uid="{077EB283-C561-472E-BCD4-FBE07DF8DB47}"/>
    <cellStyle name="20% - Accent3 2" xfId="7" xr:uid="{873E807C-05FE-44B5-B52C-0F44103D630E}"/>
    <cellStyle name="20% - Accent4 2" xfId="8" xr:uid="{1C61AFF9-80B7-4A2A-86A7-49CE455D4C27}"/>
    <cellStyle name="20% - Accent5 2" xfId="9" xr:uid="{13F62AEC-9324-40B5-822D-F6268EF1C887}"/>
    <cellStyle name="20% - Accent6 2" xfId="10" xr:uid="{3F1A23A8-DAFD-474F-BCBF-FA0B351E4D34}"/>
    <cellStyle name="40% - Accent1 2" xfId="11" xr:uid="{3C963F9F-8E3D-4AD0-9746-441874F4DA2E}"/>
    <cellStyle name="40% - Accent2 2" xfId="12" xr:uid="{0FEA75B2-4C71-40C7-9C2D-1EFCEA69A44F}"/>
    <cellStyle name="40% - Accent3 2" xfId="13" xr:uid="{A25B9BEA-4F51-4C12-A78D-F6F8D6193560}"/>
    <cellStyle name="40% - Accent4 2" xfId="14" xr:uid="{A1E9D9DE-6A87-48F9-9162-E50F3D99674B}"/>
    <cellStyle name="40% - Accent5 2" xfId="15" xr:uid="{7A2B2E8D-835C-4825-A0E9-DE38D60722DC}"/>
    <cellStyle name="40% - Accent6 2" xfId="16" xr:uid="{E99459B1-91C5-4661-8A25-22477638D9E6}"/>
    <cellStyle name="60% - Accent1 2" xfId="17" xr:uid="{0798B5CE-4CDC-4175-B3B6-A6ABF541879D}"/>
    <cellStyle name="60% - Accent2 2" xfId="18" xr:uid="{F9681A7E-DA3F-4324-8E06-506F6487B3D9}"/>
    <cellStyle name="60% - Accent3 2" xfId="19" xr:uid="{AC681EF8-F87F-44E5-AA68-A32159365877}"/>
    <cellStyle name="60% - Accent4 2" xfId="20" xr:uid="{C1540709-0156-4C3F-B37D-642544527D7F}"/>
    <cellStyle name="60% - Accent5 2" xfId="21" xr:uid="{328FC8EC-CAFF-4D54-BCD4-2067F8A56C03}"/>
    <cellStyle name="60% - Accent6 2" xfId="22" xr:uid="{391032F9-F615-4B42-BFDD-EB11B7E59323}"/>
    <cellStyle name="Accent1 2" xfId="23" xr:uid="{3CA052F6-2A94-4674-918E-026DCA13A212}"/>
    <cellStyle name="Accent2 2" xfId="24" xr:uid="{96E9DD04-BD97-400E-91CA-7734AD3614AE}"/>
    <cellStyle name="Accent3 2" xfId="25" xr:uid="{35562BF4-3585-4BC8-846D-2FBFA236F247}"/>
    <cellStyle name="Accent4 2" xfId="26" xr:uid="{9DFE6A37-E461-4529-9A62-930FE1481384}"/>
    <cellStyle name="Accent5 2" xfId="27" xr:uid="{485405C4-3492-4516-AD7B-6CF9E9CF9298}"/>
    <cellStyle name="Accent6 2" xfId="28" xr:uid="{EB581CF8-2D6C-4FCC-A9C6-D7401F94292D}"/>
    <cellStyle name="Bad 2" xfId="29" xr:uid="{11229AE9-B191-41D8-BBFD-3E29F8D6BFE2}"/>
    <cellStyle name="Calculation 2" xfId="30" xr:uid="{5D72216C-4877-4FF9-A8B3-3F58DD10201E}"/>
    <cellStyle name="Check Cell 2" xfId="31" xr:uid="{8ABE4182-37B6-4112-820F-39F8945E0425}"/>
    <cellStyle name="Comma" xfId="50" builtinId="3"/>
    <cellStyle name="Comma 2" xfId="32" xr:uid="{BB5B880E-61B4-48AB-A97C-440D1174A12C}"/>
    <cellStyle name="Currency" xfId="48" builtinId="4"/>
    <cellStyle name="Date" xfId="49" xr:uid="{FD02E8B2-94DF-421B-B2FC-47CBA2DD4CDA}"/>
    <cellStyle name="Explanatory Text 2" xfId="33" xr:uid="{747C9DC7-93CA-476C-A8FF-2272D01BBBBB}"/>
    <cellStyle name="Good 2" xfId="34" xr:uid="{38DD53E9-1BF5-4AAA-A83A-B54D41443378}"/>
    <cellStyle name="Heading 1 2" xfId="35" xr:uid="{CFEC3B5B-FB20-474E-B041-0EE494E6E052}"/>
    <cellStyle name="Heading 2 2" xfId="36" xr:uid="{278127B8-75C7-41ED-BCFA-EDE5EE16A401}"/>
    <cellStyle name="Heading 3 2" xfId="37" xr:uid="{45CC04EB-55F9-4507-9260-033ACCC102A3}"/>
    <cellStyle name="Heading 4 2" xfId="38" xr:uid="{8184E8DC-D400-410D-BCCA-0A0E5FE5BAB8}"/>
    <cellStyle name="Hyperlink" xfId="2" builtinId="8"/>
    <cellStyle name="Hyperlink 2" xfId="39" xr:uid="{DE11AC2B-5E6E-4F3E-BE4B-99A941F0B403}"/>
    <cellStyle name="Input 2" xfId="40" xr:uid="{ECEB5D9E-D95B-49E9-AECA-2159DBAA47AC}"/>
    <cellStyle name="Linked Cell 2" xfId="41" xr:uid="{246380DE-4AB1-4D4D-881E-FD46233D2069}"/>
    <cellStyle name="Neutral 2" xfId="42" xr:uid="{15E6B8BF-1DD0-41A3-9F36-A633F27F393C}"/>
    <cellStyle name="Normal" xfId="0" builtinId="0"/>
    <cellStyle name="Normal 2" xfId="1" xr:uid="{2F2634E1-2EB0-49EE-A191-27264D18B610}"/>
    <cellStyle name="Normal 3" xfId="4" xr:uid="{C0658D52-5CF7-461E-8511-07E60A232BA8}"/>
    <cellStyle name="Note 2" xfId="43" xr:uid="{D6ADC417-5DA4-4118-87F9-8C58D394A15F}"/>
    <cellStyle name="Output 2" xfId="44" xr:uid="{B0EE5668-36FB-455F-BA73-A86FFB62510F}"/>
    <cellStyle name="Percent" xfId="3" builtinId="5"/>
    <cellStyle name="Title 2" xfId="45" xr:uid="{24BDA421-059F-46CB-B243-429344CBFB60}"/>
    <cellStyle name="Total 2" xfId="46" xr:uid="{849957F4-9B0A-49A7-8246-F24A3F2D3301}"/>
    <cellStyle name="Warning Text 2" xfId="47" xr:uid="{99D731A2-35E5-480F-B653-932C8DCA290D}"/>
  </cellStyles>
  <dxfs count="126">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rgb="FFFFFF00"/>
        </patternFill>
      </fill>
    </dxf>
    <dxf>
      <fill>
        <patternFill patternType="solid">
          <bgColor rgb="FFFFFF00"/>
        </patternFill>
      </fill>
    </dxf>
    <dxf>
      <font>
        <b/>
        <i val="0"/>
      </font>
      <fill>
        <patternFill patternType="solid">
          <bgColor rgb="FFFFFF00"/>
        </patternFill>
      </fill>
    </dxf>
    <dxf>
      <font>
        <b/>
        <i val="0"/>
      </font>
      <fill>
        <patternFill patternType="solid">
          <bgColor rgb="FFFFFF00"/>
        </patternFill>
      </fill>
    </dxf>
    <dxf>
      <fill>
        <patternFill patternType="solid">
          <bgColor theme="0" tint="-0.34998626667073579"/>
        </patternFill>
      </fill>
    </dxf>
    <dxf>
      <fill>
        <patternFill patternType="solid">
          <bgColor theme="0" tint="-0.34998626667073579"/>
        </patternFill>
      </fill>
    </dxf>
    <dxf>
      <fill>
        <patternFill patternType="solid">
          <bgColor theme="1" tint="0.499984740745262"/>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C6EFCE"/>
        </patternFill>
      </fill>
    </dxf>
    <dxf>
      <font>
        <b/>
        <i val="0"/>
      </font>
      <fill>
        <patternFill patternType="solid">
          <bgColor rgb="FFC6EFCE"/>
        </patternFill>
      </fill>
    </dxf>
    <dxf>
      <fill>
        <patternFill>
          <bgColor rgb="FFFFC7CE"/>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color rgb="FFFF0000"/>
      </font>
      <fill>
        <patternFill patternType="solid">
          <bgColor theme="0" tint="-0.14999847407452621"/>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b/>
        <i val="0"/>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0" tint="-0.34998626667073579"/>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0" tint="-0.34998626667073579"/>
        </patternFill>
      </fill>
    </dxf>
    <dxf>
      <fill>
        <patternFill patternType="solid">
          <bgColor theme="1" tint="0.499984740745262"/>
        </patternFill>
      </fill>
    </dxf>
    <dxf>
      <font>
        <color theme="1"/>
      </font>
      <fill>
        <patternFill>
          <bgColor rgb="FFC6EFCE"/>
        </patternFill>
      </fill>
    </dxf>
    <dxf>
      <fill>
        <patternFill patternType="solid">
          <bgColor rgb="FF92D050"/>
        </patternFill>
      </fill>
    </dxf>
    <dxf>
      <fill>
        <patternFill>
          <bgColor rgb="FFFFC7CE"/>
        </patternFill>
      </fill>
    </dxf>
    <dxf>
      <fill>
        <patternFill patternType="solid">
          <bgColor rgb="FF92D050"/>
        </patternFill>
      </fill>
    </dxf>
    <dxf>
      <fill>
        <patternFill>
          <bgColor rgb="FFFFC7CE"/>
        </patternFill>
      </fill>
    </dxf>
    <dxf>
      <font>
        <color theme="1"/>
      </font>
      <fill>
        <patternFill>
          <bgColor rgb="FFC6EFCE"/>
        </patternFill>
      </fill>
    </dxf>
    <dxf>
      <font>
        <b/>
        <i val="0"/>
      </font>
      <fill>
        <patternFill patternType="solid">
          <bgColor rgb="FFFFC7CE"/>
        </patternFill>
      </fill>
    </dxf>
    <dxf>
      <font>
        <b/>
        <i val="0"/>
      </font>
      <fill>
        <patternFill patternType="solid">
          <bgColor rgb="FFC6EFCE"/>
        </patternFill>
      </fill>
    </dxf>
    <dxf>
      <font>
        <b/>
        <i val="0"/>
      </font>
      <fill>
        <patternFill patternType="solid">
          <bgColor rgb="FFFFC7CE"/>
        </patternFill>
      </fill>
    </dxf>
    <dxf>
      <font>
        <b/>
        <i val="0"/>
      </font>
      <fill>
        <patternFill patternType="solid">
          <bgColor rgb="FFFFC7CE"/>
        </patternFill>
      </fill>
    </dxf>
    <dxf>
      <font>
        <b/>
        <i val="0"/>
      </font>
      <fill>
        <patternFill patternType="solid">
          <bgColor rgb="FFC6EFCE"/>
        </patternFill>
      </fill>
    </dxf>
    <dxf>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C6EFCE"/>
        </patternFill>
      </fill>
    </dxf>
    <dxf>
      <fill>
        <patternFill patternType="solid">
          <bgColor rgb="FFC6EFCE"/>
        </patternFill>
      </fill>
    </dxf>
    <dxf>
      <font>
        <color rgb="FF9C0006"/>
      </font>
      <fill>
        <patternFill>
          <bgColor rgb="FFFFC7CE"/>
        </patternFill>
      </fill>
    </dxf>
    <dxf>
      <font>
        <color rgb="FF9C0006"/>
      </font>
      <fill>
        <patternFill>
          <bgColor rgb="FFFFC7CE"/>
        </patternFill>
      </fill>
    </dxf>
    <dxf>
      <font>
        <b/>
        <i val="0"/>
      </font>
      <fill>
        <patternFill patternType="solid">
          <bgColor rgb="FFFFC7CE"/>
        </patternFill>
      </fill>
    </dxf>
    <dxf>
      <font>
        <color theme="1"/>
      </font>
      <fill>
        <patternFill>
          <bgColor rgb="FFC6EFCE"/>
        </patternFill>
      </fill>
    </dxf>
    <dxf>
      <font>
        <color theme="1"/>
      </font>
      <fill>
        <patternFill>
          <bgColor rgb="FFC6EFCE"/>
        </patternFill>
      </fill>
    </dxf>
    <dxf>
      <fill>
        <patternFill>
          <bgColor rgb="FFC6EFCE"/>
        </patternFill>
      </fill>
    </dxf>
    <dxf>
      <font>
        <b/>
        <i val="0"/>
      </font>
      <fill>
        <patternFill patternType="solid">
          <bgColor rgb="FFC6EFCE"/>
        </patternFill>
      </fill>
    </dxf>
    <dxf>
      <fill>
        <patternFill patternType="solid">
          <bgColor rgb="FFC6EFCE"/>
        </patternFill>
      </fill>
    </dxf>
    <dxf>
      <fill>
        <patternFill patternType="solid">
          <bgColor theme="0" tint="-0.34998626667073579"/>
        </patternFill>
      </fill>
    </dxf>
    <dxf>
      <fill>
        <patternFill>
          <bgColor rgb="FFFFC7CE"/>
        </patternFill>
      </fill>
    </dxf>
    <dxf>
      <fill>
        <patternFill patternType="solid">
          <bgColor rgb="FFFFFF00"/>
        </patternFill>
      </fill>
    </dxf>
    <dxf>
      <font>
        <b/>
        <i val="0"/>
      </font>
      <fill>
        <patternFill patternType="solid">
          <bgColor rgb="FFFFC7CE"/>
        </patternFill>
      </fill>
    </dxf>
    <dxf>
      <fill>
        <patternFill patternType="solid">
          <bgColor rgb="FFFFFF00"/>
        </patternFill>
      </fill>
    </dxf>
    <dxf>
      <fill>
        <patternFill patternType="solid">
          <bgColor theme="0" tint="-0.34998626667073579"/>
        </patternFill>
      </fill>
    </dxf>
    <dxf>
      <fill>
        <patternFill patternType="solid">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theme="0" tint="-0.14999847407452621"/>
        </patternFill>
      </fill>
    </dxf>
    <dxf>
      <fill>
        <patternFill patternType="solid">
          <bgColor rgb="FFFFFF00"/>
        </patternFill>
      </fill>
    </dxf>
    <dxf>
      <fill>
        <patternFill patternType="solid">
          <bgColor rgb="FFFFFF00"/>
        </patternFill>
      </fill>
    </dxf>
    <dxf>
      <font>
        <b/>
        <i val="0"/>
      </font>
      <fill>
        <patternFill patternType="solid">
          <bgColor rgb="FFFFFF00"/>
        </patternFill>
      </fill>
    </dxf>
    <dxf>
      <font>
        <b/>
        <i val="0"/>
      </font>
      <fill>
        <patternFill patternType="solid">
          <bgColor rgb="FFFFFF00"/>
        </patternFill>
      </fill>
    </dxf>
    <dxf>
      <border>
        <top style="thin">
          <color auto="1"/>
        </top>
      </border>
    </dxf>
    <dxf>
      <fill>
        <patternFill>
          <bgColor theme="0" tint="-0.14996795556505021"/>
        </patternFill>
      </fill>
    </dxf>
    <dxf>
      <fill>
        <patternFill>
          <bgColor theme="0"/>
        </patternFill>
      </fill>
    </dxf>
    <dxf>
      <font>
        <b/>
        <i val="0"/>
        <strike val="0"/>
        <u val="none"/>
        <color theme="0"/>
      </font>
      <fill>
        <patternFill>
          <bgColor theme="3"/>
        </patternFill>
      </fill>
    </dxf>
    <dxf>
      <border>
        <left style="thick">
          <color auto="1"/>
        </left>
        <right style="thick">
          <color auto="1"/>
        </right>
        <top style="thick">
          <color auto="1"/>
        </top>
        <bottom style="thick">
          <color auto="1"/>
        </bottom>
        <vertical style="thin">
          <color auto="1"/>
        </vertical>
        <horizontal style="thin">
          <color auto="1"/>
        </horizontal>
      </border>
    </dxf>
    <dxf>
      <font>
        <color theme="1" tint="0.24994659260841701"/>
      </font>
      <fill>
        <patternFill patternType="solid">
          <fgColor theme="4" tint="0.79992065187536243"/>
          <bgColor theme="0"/>
        </patternFill>
      </fill>
    </dxf>
    <dxf>
      <font>
        <color theme="1" tint="0.24994659260841701"/>
      </font>
      <fill>
        <patternFill patternType="solid">
          <fgColor theme="4" tint="0.79992065187536243"/>
          <bgColor theme="6" tint="0.79998168889431442"/>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
      <font>
        <color theme="1" tint="0.24994659260841701"/>
      </font>
      <fill>
        <patternFill patternType="solid">
          <fgColor theme="4" tint="0.79992065187536243"/>
          <bgColor theme="0"/>
        </patternFill>
      </fill>
    </dxf>
    <dxf>
      <font>
        <color theme="1" tint="0.24994659260841701"/>
      </font>
      <fill>
        <patternFill patternType="solid">
          <fgColor theme="4" tint="0.79992065187536243"/>
          <bgColor theme="6" tint="0.79998168889431442"/>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s>
  <tableStyles count="3" defaultTableStyle="TableStyleMedium2" defaultPivotStyle="PivotStyleLight16">
    <tableStyle name="Loan Calculator" pivot="0" count="7" xr9:uid="{BEB78FE6-1F27-4AA9-9242-F1B7CE08626E}">
      <tableStyleElement type="wholeTable" dxfId="125"/>
      <tableStyleElement type="headerRow" dxfId="124"/>
      <tableStyleElement type="totalRow" dxfId="123"/>
      <tableStyleElement type="firstColumn" dxfId="122"/>
      <tableStyleElement type="lastColumn" dxfId="121"/>
      <tableStyleElement type="firstRowStripe" dxfId="120"/>
      <tableStyleElement type="firstColumnStripe" dxfId="119"/>
    </tableStyle>
    <tableStyle name="Loan Calculator 2" pivot="0" count="7" xr9:uid="{68EB8BF6-676E-454F-B99C-E91F3BA2F6BA}">
      <tableStyleElement type="wholeTable" dxfId="118"/>
      <tableStyleElement type="headerRow" dxfId="117"/>
      <tableStyleElement type="totalRow" dxfId="116"/>
      <tableStyleElement type="firstColumn" dxfId="115"/>
      <tableStyleElement type="lastColumn" dxfId="114"/>
      <tableStyleElement type="firstRowStripe" dxfId="113"/>
      <tableStyleElement type="firstColumnStripe" dxfId="112"/>
    </tableStyle>
    <tableStyle name="PARTS LIST" pivot="0" count="5" xr9:uid="{F1EFB52B-8954-42D2-A0AE-34196D3B1211}">
      <tableStyleElement type="wholeTable" dxfId="111"/>
      <tableStyleElement type="headerRow" dxfId="110"/>
      <tableStyleElement type="firstRowStripe" size="3" dxfId="109"/>
      <tableStyleElement type="secondRowStripe" size="3" dxfId="108"/>
      <tableStyleElement type="firstTotalCell" dxfId="107"/>
    </tableStyle>
  </tableStyles>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06/relationships/rdRichValue" Target="richData/rdrichvalue.xml"/><Relationship Id="rId30" Type="http://schemas.microsoft.com/office/2017/06/relationships/rdSupportingPropertyBagStructure" Target="richData/rdsupportingpropertybagstructure.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622300</xdr:colOff>
      <xdr:row>0</xdr:row>
      <xdr:rowOff>88900</xdr:rowOff>
    </xdr:from>
    <xdr:to>
      <xdr:col>6</xdr:col>
      <xdr:colOff>704850</xdr:colOff>
      <xdr:row>3</xdr:row>
      <xdr:rowOff>31750</xdr:rowOff>
    </xdr:to>
    <xdr:sp macro="[0]!Mail_Workbook" textlink="">
      <xdr:nvSpPr>
        <xdr:cNvPr id="2" name="Rectangle: Rounded Corners 1">
          <a:extLst>
            <a:ext uri="{FF2B5EF4-FFF2-40B4-BE49-F238E27FC236}">
              <a16:creationId xmlns:a16="http://schemas.microsoft.com/office/drawing/2014/main" id="{02DC1239-5E0D-0284-7046-1F36AA525C50}"/>
            </a:ext>
          </a:extLst>
        </xdr:cNvPr>
        <xdr:cNvSpPr/>
      </xdr:nvSpPr>
      <xdr:spPr>
        <a:xfrm>
          <a:off x="7486650" y="88900"/>
          <a:ext cx="33147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Email John</a:t>
          </a:r>
          <a:r>
            <a:rPr lang="en-US" sz="1600" baseline="0"/>
            <a:t> Order Details Worksheet</a:t>
          </a:r>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2" name="Rectangle: Rounded Corners 6">
          <a:extLst>
            <a:ext uri="{FF2B5EF4-FFF2-40B4-BE49-F238E27FC236}">
              <a16:creationId xmlns:a16="http://schemas.microsoft.com/office/drawing/2014/main" id="{F1D51551-ED9C-45D5-8EF9-72EF0FB17C27}"/>
            </a:ext>
            <a:ext uri="{147F2762-F138-4A5C-976F-8EAC2B608ADB}">
              <a16:predDERef xmlns:a16="http://schemas.microsoft.com/office/drawing/2014/main" pred="{2B576D6F-DBA4-4599-83C1-BF1896CFA4E8}"/>
            </a:ext>
          </a:extLst>
        </xdr:cNvPr>
        <xdr:cNvSpPr/>
      </xdr:nvSpPr>
      <xdr:spPr>
        <a:xfrm>
          <a:off x="13230225" y="952500"/>
          <a:ext cx="2000250"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11</xdr:col>
      <xdr:colOff>3174</xdr:colOff>
      <xdr:row>4</xdr:row>
      <xdr:rowOff>74085</xdr:rowOff>
    </xdr:from>
    <xdr:to>
      <xdr:col>11</xdr:col>
      <xdr:colOff>3174</xdr:colOff>
      <xdr:row>9</xdr:row>
      <xdr:rowOff>46568</xdr:rowOff>
    </xdr:to>
    <xdr:grpSp>
      <xdr:nvGrpSpPr>
        <xdr:cNvPr id="3" name="Group 5">
          <a:extLst>
            <a:ext uri="{FF2B5EF4-FFF2-40B4-BE49-F238E27FC236}">
              <a16:creationId xmlns:a16="http://schemas.microsoft.com/office/drawing/2014/main" id="{FA8EB38B-5C8E-4F56-B442-ADF02C723FF7}"/>
            </a:ext>
            <a:ext uri="{147F2762-F138-4A5C-976F-8EAC2B608ADB}">
              <a16:predDERef xmlns:a16="http://schemas.microsoft.com/office/drawing/2014/main" pred="{F1D51551-ED9C-45D5-8EF9-72EF0FB17C27}"/>
            </a:ext>
          </a:extLst>
        </xdr:cNvPr>
        <xdr:cNvGrpSpPr/>
      </xdr:nvGrpSpPr>
      <xdr:grpSpPr>
        <a:xfrm>
          <a:off x="15624174" y="910168"/>
          <a:ext cx="0" cy="914400"/>
          <a:chOff x="15631582" y="899584"/>
          <a:chExt cx="4180417" cy="914400"/>
        </a:xfrm>
      </xdr:grpSpPr>
      <xdr:sp macro="[0]!Savewb" textlink="">
        <xdr:nvSpPr>
          <xdr:cNvPr id="4" name="Rectangle: Rounded Corners 1">
            <a:extLst>
              <a:ext uri="{FF2B5EF4-FFF2-40B4-BE49-F238E27FC236}">
                <a16:creationId xmlns:a16="http://schemas.microsoft.com/office/drawing/2014/main" id="{25254ACE-C93F-4BB4-CA4D-C9F1C513E179}"/>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FE6112D4-6054-DFCC-0F43-07EACDCCA4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6" name="TextBox 7">
          <a:extLst>
            <a:ext uri="{FF2B5EF4-FFF2-40B4-BE49-F238E27FC236}">
              <a16:creationId xmlns:a16="http://schemas.microsoft.com/office/drawing/2014/main" id="{FEB43F33-17C1-452D-9C0A-4B5ADE819F1B}"/>
            </a:ext>
            <a:ext uri="{147F2762-F138-4A5C-976F-8EAC2B608ADB}">
              <a16:predDERef xmlns:a16="http://schemas.microsoft.com/office/drawing/2014/main" pred="{FA8EB38B-5C8E-4F56-B442-ADF02C723FF7}"/>
            </a:ext>
          </a:extLst>
        </xdr:cNvPr>
        <xdr:cNvSpPr txBox="1"/>
      </xdr:nvSpPr>
      <xdr:spPr>
        <a:xfrm>
          <a:off x="16512117" y="15472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662517</xdr:colOff>
      <xdr:row>6</xdr:row>
      <xdr:rowOff>3706</xdr:rowOff>
    </xdr:to>
    <xdr:pic>
      <xdr:nvPicPr>
        <xdr:cNvPr id="7" name="Picture 2">
          <a:extLst>
            <a:ext uri="{FF2B5EF4-FFF2-40B4-BE49-F238E27FC236}">
              <a16:creationId xmlns:a16="http://schemas.microsoft.com/office/drawing/2014/main" id="{DB694E1A-15AC-4390-BD57-F39BFBB88018}"/>
            </a:ext>
            <a:ext uri="{147F2762-F138-4A5C-976F-8EAC2B608ADB}">
              <a16:predDERef xmlns:a16="http://schemas.microsoft.com/office/drawing/2014/main" pred="{FEB43F33-17C1-452D-9C0A-4B5ADE819F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8" name="Rectangle: Rounded Corners 3">
          <a:extLst>
            <a:ext uri="{FF2B5EF4-FFF2-40B4-BE49-F238E27FC236}">
              <a16:creationId xmlns:a16="http://schemas.microsoft.com/office/drawing/2014/main" id="{82C68E58-637F-4533-9DC0-4B81FC1F469F}"/>
            </a:ext>
            <a:ext uri="{147F2762-F138-4A5C-976F-8EAC2B608ADB}">
              <a16:predDERef xmlns:a16="http://schemas.microsoft.com/office/drawing/2014/main" pred="{DB694E1A-15AC-4390-BD57-F39BFBB88018}"/>
            </a:ext>
          </a:extLst>
        </xdr:cNvPr>
        <xdr:cNvSpPr/>
      </xdr:nvSpPr>
      <xdr:spPr>
        <a:xfrm>
          <a:off x="15840076" y="954618"/>
          <a:ext cx="2092324"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7" name="Rectangle: Rounded Corners 6">
          <a:extLst>
            <a:ext uri="{FF2B5EF4-FFF2-40B4-BE49-F238E27FC236}">
              <a16:creationId xmlns:a16="http://schemas.microsoft.com/office/drawing/2014/main" id="{EEAA492B-4588-473C-9A51-D6F100F78480}"/>
            </a:ext>
            <a:ext uri="{147F2762-F138-4A5C-976F-8EAC2B608ADB}">
              <a16:predDERef xmlns:a16="http://schemas.microsoft.com/office/drawing/2014/main" pred="{2B576D6F-DBA4-4599-83C1-BF1896CFA4E8}"/>
            </a:ext>
          </a:extLst>
        </xdr:cNvPr>
        <xdr:cNvSpPr/>
      </xdr:nvSpPr>
      <xdr:spPr>
        <a:xfrm>
          <a:off x="13230225" y="952500"/>
          <a:ext cx="2200275"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10</xdr:col>
      <xdr:colOff>1174749</xdr:colOff>
      <xdr:row>4</xdr:row>
      <xdr:rowOff>74085</xdr:rowOff>
    </xdr:from>
    <xdr:to>
      <xdr:col>10</xdr:col>
      <xdr:colOff>5355166</xdr:colOff>
      <xdr:row>9</xdr:row>
      <xdr:rowOff>46568</xdr:rowOff>
    </xdr:to>
    <xdr:grpSp>
      <xdr:nvGrpSpPr>
        <xdr:cNvPr id="6" name="Group 5">
          <a:extLst>
            <a:ext uri="{FF2B5EF4-FFF2-40B4-BE49-F238E27FC236}">
              <a16:creationId xmlns:a16="http://schemas.microsoft.com/office/drawing/2014/main" id="{AAF788FF-E822-69CD-07CE-5DF101529DCC}"/>
            </a:ext>
          </a:extLst>
        </xdr:cNvPr>
        <xdr:cNvGrpSpPr/>
      </xdr:nvGrpSpPr>
      <xdr:grpSpPr>
        <a:xfrm>
          <a:off x="15511991" y="910168"/>
          <a:ext cx="0" cy="914400"/>
          <a:chOff x="15631582" y="899584"/>
          <a:chExt cx="4180417" cy="914400"/>
        </a:xfrm>
      </xdr:grpSpPr>
      <xdr:sp macro="[0]!Savewb" textlink="">
        <xdr:nvSpPr>
          <xdr:cNvPr id="2" name="Rectangle: Rounded Corners 1">
            <a:extLst>
              <a:ext uri="{FF2B5EF4-FFF2-40B4-BE49-F238E27FC236}">
                <a16:creationId xmlns:a16="http://schemas.microsoft.com/office/drawing/2014/main" id="{4E830120-E98B-66D2-DE69-698CAF96E0CE}"/>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F194FEAE-4320-971B-D6D0-D84FBFC496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8" name="TextBox 7">
          <a:extLst>
            <a:ext uri="{FF2B5EF4-FFF2-40B4-BE49-F238E27FC236}">
              <a16:creationId xmlns:a16="http://schemas.microsoft.com/office/drawing/2014/main" id="{E0DD1112-4B21-6A11-3794-BD98C617FA36}"/>
            </a:ext>
          </a:extLst>
        </xdr:cNvPr>
        <xdr:cNvSpPr txBox="1"/>
      </xdr:nvSpPr>
      <xdr:spPr>
        <a:xfrm>
          <a:off x="21177250" y="15451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776817</xdr:colOff>
      <xdr:row>6</xdr:row>
      <xdr:rowOff>3706</xdr:rowOff>
    </xdr:to>
    <xdr:pic>
      <xdr:nvPicPr>
        <xdr:cNvPr id="3" name="Picture 2">
          <a:extLst>
            <a:ext uri="{FF2B5EF4-FFF2-40B4-BE49-F238E27FC236}">
              <a16:creationId xmlns:a16="http://schemas.microsoft.com/office/drawing/2014/main" id="{AD44271C-507F-4A96-B6D0-9EF37E7C5FB5}"/>
            </a:ext>
            <a:ext uri="{147F2762-F138-4A5C-976F-8EAC2B608ADB}">
              <a16:predDERef xmlns:a16="http://schemas.microsoft.com/office/drawing/2014/main" pred="{E0DD1112-4B21-6A11-3794-BD98C617FA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4" name="Rectangle: Rounded Corners 3">
          <a:extLst>
            <a:ext uri="{FF2B5EF4-FFF2-40B4-BE49-F238E27FC236}">
              <a16:creationId xmlns:a16="http://schemas.microsoft.com/office/drawing/2014/main" id="{1D45757F-D375-A9BA-0F28-FC96BA822E31}"/>
            </a:ext>
          </a:extLst>
        </xdr:cNvPr>
        <xdr:cNvSpPr/>
      </xdr:nvSpPr>
      <xdr:spPr>
        <a:xfrm>
          <a:off x="15843251" y="952501"/>
          <a:ext cx="2106082"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0</xdr:col>
      <xdr:colOff>1657350</xdr:colOff>
      <xdr:row>4</xdr:row>
      <xdr:rowOff>95250</xdr:rowOff>
    </xdr:to>
    <xdr:pic>
      <xdr:nvPicPr>
        <xdr:cNvPr id="2" name="Picture 1">
          <a:extLst>
            <a:ext uri="{FF2B5EF4-FFF2-40B4-BE49-F238E27FC236}">
              <a16:creationId xmlns:a16="http://schemas.microsoft.com/office/drawing/2014/main" id="{15FA1C8D-DD84-02E3-4616-30DC3F065907}"/>
            </a:ext>
          </a:extLst>
        </xdr:cNvPr>
        <xdr:cNvPicPr>
          <a:picLocks noChangeAspect="1"/>
        </xdr:cNvPicPr>
      </xdr:nvPicPr>
      <xdr:blipFill>
        <a:blip xmlns:r="http://schemas.openxmlformats.org/officeDocument/2006/relationships" r:embed="rId1"/>
        <a:stretch>
          <a:fillRect/>
        </a:stretch>
      </xdr:blipFill>
      <xdr:spPr>
        <a:xfrm>
          <a:off x="676275" y="133350"/>
          <a:ext cx="1590675" cy="723900"/>
        </a:xfrm>
        <a:prstGeom prst="rect">
          <a:avLst/>
        </a:prstGeom>
      </xdr:spPr>
    </xdr:pic>
    <xdr:clientData/>
  </xdr:twoCellAnchor>
  <xdr:twoCellAnchor>
    <xdr:from>
      <xdr:col>20</xdr:col>
      <xdr:colOff>28575</xdr:colOff>
      <xdr:row>3</xdr:row>
      <xdr:rowOff>9525</xdr:rowOff>
    </xdr:from>
    <xdr:to>
      <xdr:col>22</xdr:col>
      <xdr:colOff>600075</xdr:colOff>
      <xdr:row>7</xdr:row>
      <xdr:rowOff>47625</xdr:rowOff>
    </xdr:to>
    <xdr:sp macro="[0]!SaveAsPDF4" textlink="">
      <xdr:nvSpPr>
        <xdr:cNvPr id="3" name="Rectangle: Rounded Corners 2">
          <a:extLst>
            <a:ext uri="{FF2B5EF4-FFF2-40B4-BE49-F238E27FC236}">
              <a16:creationId xmlns:a16="http://schemas.microsoft.com/office/drawing/2014/main" id="{9BB09C28-0B21-DB02-CAB3-7B3422692C99}"/>
            </a:ext>
          </a:extLst>
        </xdr:cNvPr>
        <xdr:cNvSpPr/>
      </xdr:nvSpPr>
      <xdr:spPr>
        <a:xfrm>
          <a:off x="9134475" y="581025"/>
          <a:ext cx="1876425" cy="8001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400"/>
            <a:t>Save As PDF</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2" name="Rectangle: Rounded Corners 6">
          <a:extLst>
            <a:ext uri="{FF2B5EF4-FFF2-40B4-BE49-F238E27FC236}">
              <a16:creationId xmlns:a16="http://schemas.microsoft.com/office/drawing/2014/main" id="{B746A5F1-4CFC-4675-98EB-8946CF3964A3}"/>
            </a:ext>
            <a:ext uri="{147F2762-F138-4A5C-976F-8EAC2B608ADB}">
              <a16:predDERef xmlns:a16="http://schemas.microsoft.com/office/drawing/2014/main" pred="{2B576D6F-DBA4-4599-83C1-BF1896CFA4E8}"/>
            </a:ext>
          </a:extLst>
        </xdr:cNvPr>
        <xdr:cNvSpPr/>
      </xdr:nvSpPr>
      <xdr:spPr>
        <a:xfrm>
          <a:off x="13230225" y="952500"/>
          <a:ext cx="2000250"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11</xdr:col>
      <xdr:colOff>3174</xdr:colOff>
      <xdr:row>4</xdr:row>
      <xdr:rowOff>74085</xdr:rowOff>
    </xdr:from>
    <xdr:to>
      <xdr:col>11</xdr:col>
      <xdr:colOff>3174</xdr:colOff>
      <xdr:row>9</xdr:row>
      <xdr:rowOff>46568</xdr:rowOff>
    </xdr:to>
    <xdr:grpSp>
      <xdr:nvGrpSpPr>
        <xdr:cNvPr id="3" name="Group 5">
          <a:extLst>
            <a:ext uri="{FF2B5EF4-FFF2-40B4-BE49-F238E27FC236}">
              <a16:creationId xmlns:a16="http://schemas.microsoft.com/office/drawing/2014/main" id="{BB741729-B639-4633-8CA3-0D607F92B19C}"/>
            </a:ext>
            <a:ext uri="{147F2762-F138-4A5C-976F-8EAC2B608ADB}">
              <a16:predDERef xmlns:a16="http://schemas.microsoft.com/office/drawing/2014/main" pred="{B746A5F1-4CFC-4675-98EB-8946CF3964A3}"/>
            </a:ext>
          </a:extLst>
        </xdr:cNvPr>
        <xdr:cNvGrpSpPr/>
      </xdr:nvGrpSpPr>
      <xdr:grpSpPr>
        <a:xfrm>
          <a:off x="15666507" y="910168"/>
          <a:ext cx="0" cy="914400"/>
          <a:chOff x="15631582" y="899584"/>
          <a:chExt cx="4180417" cy="914400"/>
        </a:xfrm>
      </xdr:grpSpPr>
      <xdr:sp macro="[0]!Savewb" textlink="">
        <xdr:nvSpPr>
          <xdr:cNvPr id="4" name="Rectangle: Rounded Corners 1">
            <a:extLst>
              <a:ext uri="{FF2B5EF4-FFF2-40B4-BE49-F238E27FC236}">
                <a16:creationId xmlns:a16="http://schemas.microsoft.com/office/drawing/2014/main" id="{45E8A2E4-35B3-7AEA-C3C2-320B44DA5D45}"/>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317E7E23-31EF-69F4-BD06-8A11B6BEA5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6" name="TextBox 7">
          <a:extLst>
            <a:ext uri="{FF2B5EF4-FFF2-40B4-BE49-F238E27FC236}">
              <a16:creationId xmlns:a16="http://schemas.microsoft.com/office/drawing/2014/main" id="{3267795C-FEA6-4A44-9005-9745A6E36677}"/>
            </a:ext>
            <a:ext uri="{147F2762-F138-4A5C-976F-8EAC2B608ADB}">
              <a16:predDERef xmlns:a16="http://schemas.microsoft.com/office/drawing/2014/main" pred="{BB741729-B639-4633-8CA3-0D607F92B19C}"/>
            </a:ext>
          </a:extLst>
        </xdr:cNvPr>
        <xdr:cNvSpPr txBox="1"/>
      </xdr:nvSpPr>
      <xdr:spPr>
        <a:xfrm>
          <a:off x="16512117" y="15472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1063202</xdr:colOff>
      <xdr:row>6</xdr:row>
      <xdr:rowOff>2507</xdr:rowOff>
    </xdr:to>
    <xdr:pic>
      <xdr:nvPicPr>
        <xdr:cNvPr id="7" name="Picture 2">
          <a:extLst>
            <a:ext uri="{FF2B5EF4-FFF2-40B4-BE49-F238E27FC236}">
              <a16:creationId xmlns:a16="http://schemas.microsoft.com/office/drawing/2014/main" id="{E73CAB89-F2FE-4909-B617-3EBD0BDE34B7}"/>
            </a:ext>
            <a:ext uri="{147F2762-F138-4A5C-976F-8EAC2B608ADB}">
              <a16:predDERef xmlns:a16="http://schemas.microsoft.com/office/drawing/2014/main" pred="{3267795C-FEA6-4A44-9005-9745A6E366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8" name="Rectangle: Rounded Corners 3">
          <a:extLst>
            <a:ext uri="{FF2B5EF4-FFF2-40B4-BE49-F238E27FC236}">
              <a16:creationId xmlns:a16="http://schemas.microsoft.com/office/drawing/2014/main" id="{F2A5238F-68B0-4A98-BD5B-2794EC63299A}"/>
            </a:ext>
            <a:ext uri="{147F2762-F138-4A5C-976F-8EAC2B608ADB}">
              <a16:predDERef xmlns:a16="http://schemas.microsoft.com/office/drawing/2014/main" pred="{E73CAB89-F2FE-4909-B617-3EBD0BDE34B7}"/>
            </a:ext>
          </a:extLst>
        </xdr:cNvPr>
        <xdr:cNvSpPr/>
      </xdr:nvSpPr>
      <xdr:spPr>
        <a:xfrm>
          <a:off x="15840076" y="954618"/>
          <a:ext cx="2092324"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263526</xdr:colOff>
      <xdr:row>0</xdr:row>
      <xdr:rowOff>0</xdr:rowOff>
    </xdr:from>
    <xdr:to>
      <xdr:col>7</xdr:col>
      <xdr:colOff>678393</xdr:colOff>
      <xdr:row>5</xdr:row>
      <xdr:rowOff>22756</xdr:rowOff>
    </xdr:to>
    <xdr:pic>
      <xdr:nvPicPr>
        <xdr:cNvPr id="2" name="Picture 2">
          <a:extLst>
            <a:ext uri="{FF2B5EF4-FFF2-40B4-BE49-F238E27FC236}">
              <a16:creationId xmlns:a16="http://schemas.microsoft.com/office/drawing/2014/main" id="{B20C5E4F-8D8B-4EB9-B1C0-2A100A9C1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0251" y="157693"/>
          <a:ext cx="2605617" cy="1137181"/>
        </a:xfrm>
        <a:prstGeom prst="rect">
          <a:avLst/>
        </a:prstGeom>
      </xdr:spPr>
    </xdr:pic>
    <xdr:clientData/>
  </xdr:twoCellAnchor>
  <xdr:twoCellAnchor>
    <xdr:from>
      <xdr:col>9</xdr:col>
      <xdr:colOff>137583</xdr:colOff>
      <xdr:row>3</xdr:row>
      <xdr:rowOff>31750</xdr:rowOff>
    </xdr:from>
    <xdr:to>
      <xdr:col>11</xdr:col>
      <xdr:colOff>571500</xdr:colOff>
      <xdr:row>6</xdr:row>
      <xdr:rowOff>169334</xdr:rowOff>
    </xdr:to>
    <xdr:sp macro="[0]!SaveAsPDF2" textlink="">
      <xdr:nvSpPr>
        <xdr:cNvPr id="3" name="Rectangle: Rounded Corners 2">
          <a:extLst>
            <a:ext uri="{FF2B5EF4-FFF2-40B4-BE49-F238E27FC236}">
              <a16:creationId xmlns:a16="http://schemas.microsoft.com/office/drawing/2014/main" id="{97F5C534-1F3D-8F56-DB4A-A0E642788ACD}"/>
            </a:ext>
          </a:extLst>
        </xdr:cNvPr>
        <xdr:cNvSpPr/>
      </xdr:nvSpPr>
      <xdr:spPr>
        <a:xfrm>
          <a:off x="12456583" y="677333"/>
          <a:ext cx="221191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263526</xdr:colOff>
      <xdr:row>0</xdr:row>
      <xdr:rowOff>0</xdr:rowOff>
    </xdr:from>
    <xdr:to>
      <xdr:col>7</xdr:col>
      <xdr:colOff>1116543</xdr:colOff>
      <xdr:row>5</xdr:row>
      <xdr:rowOff>22756</xdr:rowOff>
    </xdr:to>
    <xdr:pic>
      <xdr:nvPicPr>
        <xdr:cNvPr id="2" name="Picture 2">
          <a:extLst>
            <a:ext uri="{FF2B5EF4-FFF2-40B4-BE49-F238E27FC236}">
              <a16:creationId xmlns:a16="http://schemas.microsoft.com/office/drawing/2014/main" id="{F2FBBE43-899A-4B6B-824F-E5E334FD5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4426" y="0"/>
          <a:ext cx="2605617" cy="1051456"/>
        </a:xfrm>
        <a:prstGeom prst="rect">
          <a:avLst/>
        </a:prstGeom>
      </xdr:spPr>
    </xdr:pic>
    <xdr:clientData/>
  </xdr:twoCellAnchor>
  <xdr:twoCellAnchor>
    <xdr:from>
      <xdr:col>9</xdr:col>
      <xdr:colOff>137583</xdr:colOff>
      <xdr:row>3</xdr:row>
      <xdr:rowOff>31750</xdr:rowOff>
    </xdr:from>
    <xdr:to>
      <xdr:col>11</xdr:col>
      <xdr:colOff>571500</xdr:colOff>
      <xdr:row>6</xdr:row>
      <xdr:rowOff>169334</xdr:rowOff>
    </xdr:to>
    <xdr:sp macro="[0]!SaveAsPDF2" textlink="">
      <xdr:nvSpPr>
        <xdr:cNvPr id="3" name="Rectangle: Rounded Corners 2">
          <a:extLst>
            <a:ext uri="{FF2B5EF4-FFF2-40B4-BE49-F238E27FC236}">
              <a16:creationId xmlns:a16="http://schemas.microsoft.com/office/drawing/2014/main" id="{20CEBAA9-7E29-4814-87B8-DEA77542D846}"/>
            </a:ext>
            <a:ext uri="{147F2762-F138-4A5C-976F-8EAC2B608ADB}">
              <a16:predDERef xmlns:a16="http://schemas.microsoft.com/office/drawing/2014/main" pred="{F2FBBE43-899A-4B6B-824F-E5E334FD51EA}"/>
            </a:ext>
          </a:extLst>
        </xdr:cNvPr>
        <xdr:cNvSpPr/>
      </xdr:nvSpPr>
      <xdr:spPr>
        <a:xfrm>
          <a:off x="11596158" y="603250"/>
          <a:ext cx="231986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666750</xdr:colOff>
      <xdr:row>0</xdr:row>
      <xdr:rowOff>57150</xdr:rowOff>
    </xdr:from>
    <xdr:to>
      <xdr:col>7</xdr:col>
      <xdr:colOff>433917</xdr:colOff>
      <xdr:row>5</xdr:row>
      <xdr:rowOff>79906</xdr:rowOff>
    </xdr:to>
    <xdr:pic>
      <xdr:nvPicPr>
        <xdr:cNvPr id="2" name="Picture 1">
          <a:extLst>
            <a:ext uri="{FF2B5EF4-FFF2-40B4-BE49-F238E27FC236}">
              <a16:creationId xmlns:a16="http://schemas.microsoft.com/office/drawing/2014/main" id="{4D3E969C-2C28-4ED7-B265-CB6E07214E38}"/>
            </a:ext>
            <a:ext uri="{147F2762-F138-4A5C-976F-8EAC2B608ADB}">
              <a16:predDERef xmlns:a16="http://schemas.microsoft.com/office/drawing/2014/main" pred="{C18D21F9-6E10-40A2-96D8-C9A6CAEAD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57150"/>
          <a:ext cx="2605617" cy="1051456"/>
        </a:xfrm>
        <a:prstGeom prst="rect">
          <a:avLst/>
        </a:prstGeom>
      </xdr:spPr>
    </xdr:pic>
    <xdr:clientData/>
  </xdr:twoCellAnchor>
  <xdr:twoCellAnchor>
    <xdr:from>
      <xdr:col>9</xdr:col>
      <xdr:colOff>42333</xdr:colOff>
      <xdr:row>4</xdr:row>
      <xdr:rowOff>21167</xdr:rowOff>
    </xdr:from>
    <xdr:to>
      <xdr:col>10</xdr:col>
      <xdr:colOff>1016000</xdr:colOff>
      <xdr:row>7</xdr:row>
      <xdr:rowOff>158751</xdr:rowOff>
    </xdr:to>
    <xdr:sp macro="[0]!SaveAsPDF3" textlink="">
      <xdr:nvSpPr>
        <xdr:cNvPr id="4" name="Rectangle: Rounded Corners 3">
          <a:extLst>
            <a:ext uri="{FF2B5EF4-FFF2-40B4-BE49-F238E27FC236}">
              <a16:creationId xmlns:a16="http://schemas.microsoft.com/office/drawing/2014/main" id="{614DB976-9DDB-4275-8404-6A95660A2146}"/>
            </a:ext>
          </a:extLst>
        </xdr:cNvPr>
        <xdr:cNvSpPr/>
      </xdr:nvSpPr>
      <xdr:spPr>
        <a:xfrm>
          <a:off x="12033250" y="857250"/>
          <a:ext cx="221191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42333</xdr:colOff>
      <xdr:row>4</xdr:row>
      <xdr:rowOff>21167</xdr:rowOff>
    </xdr:from>
    <xdr:to>
      <xdr:col>10</xdr:col>
      <xdr:colOff>1016000</xdr:colOff>
      <xdr:row>7</xdr:row>
      <xdr:rowOff>158751</xdr:rowOff>
    </xdr:to>
    <xdr:sp macro="[0]!SaveAsPDF3" textlink="">
      <xdr:nvSpPr>
        <xdr:cNvPr id="3" name="Rectangle: Rounded Corners 3">
          <a:extLst>
            <a:ext uri="{FF2B5EF4-FFF2-40B4-BE49-F238E27FC236}">
              <a16:creationId xmlns:a16="http://schemas.microsoft.com/office/drawing/2014/main" id="{17EBEC35-54EF-488C-867C-FD2E694A74B4}"/>
            </a:ext>
            <a:ext uri="{147F2762-F138-4A5C-976F-8EAC2B608ADB}">
              <a16:predDERef xmlns:a16="http://schemas.microsoft.com/office/drawing/2014/main" pred="{8B3495B8-0EC0-47BA-BD60-D8466A442E05}"/>
            </a:ext>
          </a:extLst>
        </xdr:cNvPr>
        <xdr:cNvSpPr/>
      </xdr:nvSpPr>
      <xdr:spPr>
        <a:xfrm>
          <a:off x="10815108" y="783167"/>
          <a:ext cx="2211917" cy="709084"/>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Save As PDF</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1038225</xdr:colOff>
      <xdr:row>35</xdr:row>
      <xdr:rowOff>117476</xdr:rowOff>
    </xdr:from>
    <xdr:to>
      <xdr:col>3</xdr:col>
      <xdr:colOff>370523</xdr:colOff>
      <xdr:row>38</xdr:row>
      <xdr:rowOff>151032</xdr:rowOff>
    </xdr:to>
    <xdr:pic>
      <xdr:nvPicPr>
        <xdr:cNvPr id="7" name="Picture 6">
          <a:extLst>
            <a:ext uri="{FF2B5EF4-FFF2-40B4-BE49-F238E27FC236}">
              <a16:creationId xmlns:a16="http://schemas.microsoft.com/office/drawing/2014/main" id="{B832A034-DC7C-46B0-BAC8-2A0562951A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8225" y="8261351"/>
          <a:ext cx="3174048" cy="605056"/>
        </a:xfrm>
        <a:prstGeom prst="rect">
          <a:avLst/>
        </a:prstGeom>
      </xdr:spPr>
    </xdr:pic>
    <xdr:clientData/>
  </xdr:twoCellAnchor>
  <xdr:twoCellAnchor editAs="oneCell">
    <xdr:from>
      <xdr:col>0</xdr:col>
      <xdr:colOff>0</xdr:colOff>
      <xdr:row>0</xdr:row>
      <xdr:rowOff>6350</xdr:rowOff>
    </xdr:from>
    <xdr:to>
      <xdr:col>1</xdr:col>
      <xdr:colOff>1149350</xdr:colOff>
      <xdr:row>0</xdr:row>
      <xdr:rowOff>1048692</xdr:rowOff>
    </xdr:to>
    <xdr:pic>
      <xdr:nvPicPr>
        <xdr:cNvPr id="8" name="Picture 7">
          <a:extLst>
            <a:ext uri="{FF2B5EF4-FFF2-40B4-BE49-F238E27FC236}">
              <a16:creationId xmlns:a16="http://schemas.microsoft.com/office/drawing/2014/main" id="{69BE4694-842C-4F72-8878-326C52C08A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350"/>
          <a:ext cx="2219325" cy="1042342"/>
        </a:xfrm>
        <a:prstGeom prst="rect">
          <a:avLst/>
        </a:prstGeom>
      </xdr:spPr>
    </xdr:pic>
    <xdr:clientData/>
  </xdr:twoCellAnchor>
  <xdr:twoCellAnchor>
    <xdr:from>
      <xdr:col>7</xdr:col>
      <xdr:colOff>0</xdr:colOff>
      <xdr:row>3</xdr:row>
      <xdr:rowOff>0</xdr:rowOff>
    </xdr:from>
    <xdr:to>
      <xdr:col>10</xdr:col>
      <xdr:colOff>120650</xdr:colOff>
      <xdr:row>7</xdr:row>
      <xdr:rowOff>19050</xdr:rowOff>
    </xdr:to>
    <xdr:sp macro="[0]!Trolley_PO" textlink="">
      <xdr:nvSpPr>
        <xdr:cNvPr id="6" name="Rectangle: Rounded Corners 5">
          <a:extLst>
            <a:ext uri="{FF2B5EF4-FFF2-40B4-BE49-F238E27FC236}">
              <a16:creationId xmlns:a16="http://schemas.microsoft.com/office/drawing/2014/main" id="{63A00766-0F92-4B88-ADDA-91186784B2B0}"/>
            </a:ext>
          </a:extLst>
        </xdr:cNvPr>
        <xdr:cNvSpPr/>
      </xdr:nvSpPr>
      <xdr:spPr>
        <a:xfrm>
          <a:off x="10506075" y="1476375"/>
          <a:ext cx="1949450" cy="781050"/>
        </a:xfrm>
        <a:prstGeom prst="round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2" name="Rectangle: Rounded Corners 6">
          <a:extLst>
            <a:ext uri="{FF2B5EF4-FFF2-40B4-BE49-F238E27FC236}">
              <a16:creationId xmlns:a16="http://schemas.microsoft.com/office/drawing/2014/main" id="{CA8E9DA7-9346-400D-9D03-BBB0E8E8787B}"/>
            </a:ext>
            <a:ext uri="{147F2762-F138-4A5C-976F-8EAC2B608ADB}">
              <a16:predDERef xmlns:a16="http://schemas.microsoft.com/office/drawing/2014/main" pred="{2B576D6F-DBA4-4599-83C1-BF1896CFA4E8}"/>
            </a:ext>
          </a:extLst>
        </xdr:cNvPr>
        <xdr:cNvSpPr/>
      </xdr:nvSpPr>
      <xdr:spPr>
        <a:xfrm>
          <a:off x="13230225" y="952500"/>
          <a:ext cx="2000250"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11</xdr:col>
      <xdr:colOff>3174</xdr:colOff>
      <xdr:row>4</xdr:row>
      <xdr:rowOff>74085</xdr:rowOff>
    </xdr:from>
    <xdr:to>
      <xdr:col>11</xdr:col>
      <xdr:colOff>3174</xdr:colOff>
      <xdr:row>9</xdr:row>
      <xdr:rowOff>46568</xdr:rowOff>
    </xdr:to>
    <xdr:grpSp>
      <xdr:nvGrpSpPr>
        <xdr:cNvPr id="3" name="Group 5">
          <a:extLst>
            <a:ext uri="{FF2B5EF4-FFF2-40B4-BE49-F238E27FC236}">
              <a16:creationId xmlns:a16="http://schemas.microsoft.com/office/drawing/2014/main" id="{8C913E29-F9D5-470C-90F9-611DC298B12B}"/>
            </a:ext>
            <a:ext uri="{147F2762-F138-4A5C-976F-8EAC2B608ADB}">
              <a16:predDERef xmlns:a16="http://schemas.microsoft.com/office/drawing/2014/main" pred="{CA8E9DA7-9346-400D-9D03-BBB0E8E8787B}"/>
            </a:ext>
          </a:extLst>
        </xdr:cNvPr>
        <xdr:cNvGrpSpPr/>
      </xdr:nvGrpSpPr>
      <xdr:grpSpPr>
        <a:xfrm>
          <a:off x="15486591" y="910168"/>
          <a:ext cx="0" cy="914400"/>
          <a:chOff x="15631582" y="899584"/>
          <a:chExt cx="4180417" cy="914400"/>
        </a:xfrm>
      </xdr:grpSpPr>
      <xdr:sp macro="[0]!Savewb" textlink="">
        <xdr:nvSpPr>
          <xdr:cNvPr id="4" name="Rectangle: Rounded Corners 1">
            <a:extLst>
              <a:ext uri="{FF2B5EF4-FFF2-40B4-BE49-F238E27FC236}">
                <a16:creationId xmlns:a16="http://schemas.microsoft.com/office/drawing/2014/main" id="{1CBA005F-3CDE-B800-F79F-FFA3420D8D27}"/>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3F059B62-FFA5-5B24-4D48-6C315FF311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6" name="TextBox 7">
          <a:extLst>
            <a:ext uri="{FF2B5EF4-FFF2-40B4-BE49-F238E27FC236}">
              <a16:creationId xmlns:a16="http://schemas.microsoft.com/office/drawing/2014/main" id="{755C0D45-75E9-40D2-9DA1-6F77A7139E33}"/>
            </a:ext>
            <a:ext uri="{147F2762-F138-4A5C-976F-8EAC2B608ADB}">
              <a16:predDERef xmlns:a16="http://schemas.microsoft.com/office/drawing/2014/main" pred="{8C913E29-F9D5-470C-90F9-611DC298B12B}"/>
            </a:ext>
          </a:extLst>
        </xdr:cNvPr>
        <xdr:cNvSpPr txBox="1"/>
      </xdr:nvSpPr>
      <xdr:spPr>
        <a:xfrm>
          <a:off x="16512117" y="154728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8</xdr:col>
      <xdr:colOff>243417</xdr:colOff>
      <xdr:row>6</xdr:row>
      <xdr:rowOff>3706</xdr:rowOff>
    </xdr:to>
    <xdr:pic>
      <xdr:nvPicPr>
        <xdr:cNvPr id="7" name="Picture 2">
          <a:extLst>
            <a:ext uri="{FF2B5EF4-FFF2-40B4-BE49-F238E27FC236}">
              <a16:creationId xmlns:a16="http://schemas.microsoft.com/office/drawing/2014/main" id="{8AC64C2F-956C-4F60-B002-C5EDFEBCCC2E}"/>
            </a:ext>
            <a:ext uri="{147F2762-F138-4A5C-976F-8EAC2B608ADB}">
              <a16:predDERef xmlns:a16="http://schemas.microsoft.com/office/drawing/2014/main" pred="{755C0D45-75E9-40D2-9DA1-6F77A7139E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8" name="Rectangle: Rounded Corners 3">
          <a:extLst>
            <a:ext uri="{FF2B5EF4-FFF2-40B4-BE49-F238E27FC236}">
              <a16:creationId xmlns:a16="http://schemas.microsoft.com/office/drawing/2014/main" id="{BBEA69A6-21B5-4BB4-B065-A8E0C8427AC2}"/>
            </a:ext>
            <a:ext uri="{147F2762-F138-4A5C-976F-8EAC2B608ADB}">
              <a16:predDERef xmlns:a16="http://schemas.microsoft.com/office/drawing/2014/main" pred="{8AC64C2F-956C-4F60-B002-C5EDFEBCCC2E}"/>
            </a:ext>
          </a:extLst>
        </xdr:cNvPr>
        <xdr:cNvSpPr/>
      </xdr:nvSpPr>
      <xdr:spPr>
        <a:xfrm>
          <a:off x="15840076" y="954618"/>
          <a:ext cx="2092324"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ummitsensorygym.sharepoint.com/Shared%20Documents/Client%20Database/Soar%20Autism%20Center%20-%20Maryvale%20Village/Fully%20Executed/Soar%20Autism%20Center%20Maryville%20Village%20-%20SQ-2MBL2T-10x10%20-%20PSFv73%20-%2005222026.xlsm" TargetMode="External"/><Relationship Id="rId1" Type="http://schemas.openxmlformats.org/officeDocument/2006/relationships/externalLinkPath" Target="https://summitsensorygym.sharepoint.com/Shared%20Documents/Client%20Database/Soar%20Autism%20Center%20-%20Maryvale%20Village/Fully%20Executed/Soar%20Autism%20Center%20Maryville%20Village%20-%20SQ-2MBL2T-10x10%20-%20PSFv73%20-%200522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overy"/>
      <sheetName val="VLOOKUP - Adventure"/>
      <sheetName val="Calcs"/>
      <sheetName val="Goldberg Order Details"/>
      <sheetName val="Sensory Space Proposal"/>
      <sheetName val="Adventure Series Proposal"/>
      <sheetName val="LOAN CALC - INCLUDE"/>
      <sheetName val="Summit Flex Proposal"/>
      <sheetName val="Flex Pro-Pack"/>
      <sheetName val="VLOOKUP - Soar"/>
      <sheetName val="Summit Soar Proposal"/>
      <sheetName val="Summit Scape Proposal"/>
      <sheetName val="TrolleyPO"/>
      <sheetName val="lists"/>
      <sheetName val="ZAPIER"/>
      <sheetName val="CC Calc"/>
      <sheetName val="Estimated Dates"/>
      <sheetName val="Payment Schedule"/>
      <sheetName val="Mat Count Calc"/>
      <sheetName val="Sheet1"/>
      <sheetName val="Travel Proposal"/>
      <sheetName val="Outsourced Install Calc"/>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
          <cell r="I1" t="str">
            <v>FABRICATOR PRICING</v>
          </cell>
          <cell r="K1" t="str">
            <v>PRICING</v>
          </cell>
        </row>
        <row r="2">
          <cell r="J2" t="str">
            <v>Fabricators--&gt;</v>
          </cell>
          <cell r="K2" t="str">
            <v>Dakotaland</v>
          </cell>
          <cell r="L2" t="str">
            <v>Goldberg</v>
          </cell>
          <cell r="M2" t="str">
            <v>Productive Tool Products</v>
          </cell>
        </row>
        <row r="3">
          <cell r="I3" t="str">
            <v>A-2245</v>
          </cell>
          <cell r="J3" t="str">
            <v>Vertical Tall &lt;80 w/Gusset</v>
          </cell>
          <cell r="K3">
            <v>427</v>
          </cell>
          <cell r="L3">
            <v>242.5</v>
          </cell>
        </row>
        <row r="4">
          <cell r="I4" t="str">
            <v>A-2241</v>
          </cell>
          <cell r="J4" t="str">
            <v>Corner Post &lt;80 1-Way Weld Assembly</v>
          </cell>
        </row>
        <row r="5">
          <cell r="I5" t="str">
            <v>A-2242</v>
          </cell>
          <cell r="J5" t="str">
            <v>Corner Post &lt;80 2-Way Weld Assembly</v>
          </cell>
          <cell r="K5">
            <v>181</v>
          </cell>
          <cell r="L5">
            <v>76.5</v>
          </cell>
        </row>
        <row r="6">
          <cell r="I6" t="str">
            <v>A-2243</v>
          </cell>
          <cell r="J6" t="str">
            <v>Corner Post &lt;80 3-Way Weld Assembly</v>
          </cell>
          <cell r="K6">
            <v>237</v>
          </cell>
          <cell r="L6">
            <v>97</v>
          </cell>
        </row>
        <row r="7">
          <cell r="I7" t="str">
            <v>A-2244</v>
          </cell>
          <cell r="J7" t="str">
            <v>Corner Post &lt;80 4-Way Weld Assembly</v>
          </cell>
          <cell r="K7">
            <v>309</v>
          </cell>
          <cell r="L7">
            <v>101</v>
          </cell>
        </row>
        <row r="8">
          <cell r="I8" t="str">
            <v>A-2225</v>
          </cell>
          <cell r="J8" t="str">
            <v>Mid Span 1-Way Saddle Alt Weld Assembly</v>
          </cell>
          <cell r="K8">
            <v>110</v>
          </cell>
          <cell r="L8">
            <v>46</v>
          </cell>
        </row>
        <row r="9">
          <cell r="I9" t="str">
            <v>A-2253</v>
          </cell>
          <cell r="J9" t="str">
            <v>Single Leg Inner Ladder Sleeve Footless Weld Assembly</v>
          </cell>
          <cell r="K9">
            <v>94</v>
          </cell>
          <cell r="L9">
            <v>65.5</v>
          </cell>
        </row>
        <row r="10">
          <cell r="I10" t="str">
            <v>A-2248</v>
          </cell>
          <cell r="J10" t="str">
            <v>Double Leg Ladder Sleeve Weld Assembly</v>
          </cell>
          <cell r="K10">
            <v>116.7</v>
          </cell>
          <cell r="L10">
            <v>79</v>
          </cell>
        </row>
        <row r="11">
          <cell r="I11" t="str">
            <v>A-2246</v>
          </cell>
          <cell r="J11" t="str">
            <v>Vertical Tall &lt;80 w/Gussets, Rungs &amp; Handles</v>
          </cell>
          <cell r="K11">
            <v>447</v>
          </cell>
          <cell r="L11">
            <v>242.5</v>
          </cell>
        </row>
        <row r="12">
          <cell r="I12" t="str">
            <v>P-2545</v>
          </cell>
          <cell r="J12" t="str">
            <v>5' Full Bay HSS Member Alt w/ Logo</v>
          </cell>
          <cell r="L12">
            <v>150</v>
          </cell>
        </row>
        <row r="13">
          <cell r="I13" t="str">
            <v>P-2206</v>
          </cell>
          <cell r="J13" t="str">
            <v>6' Full Bay HSS Member Alt w/Logo</v>
          </cell>
          <cell r="L13">
            <v>150</v>
          </cell>
        </row>
        <row r="14">
          <cell r="I14" t="str">
            <v>P-2207</v>
          </cell>
          <cell r="J14" t="str">
            <v>7' Full Bay HSS Member Alt w/Logo</v>
          </cell>
          <cell r="L14">
            <v>150</v>
          </cell>
        </row>
        <row r="15">
          <cell r="I15" t="str">
            <v>A-2408</v>
          </cell>
          <cell r="J15" t="str">
            <v>8' HALF BAY &lt;80 HSS MEMBER ALT W/LOGO</v>
          </cell>
          <cell r="K15">
            <v>221</v>
          </cell>
          <cell r="L15">
            <v>190</v>
          </cell>
        </row>
        <row r="16">
          <cell r="I16" t="str">
            <v>A-2409</v>
          </cell>
          <cell r="J16" t="str">
            <v>9' HALF BAY &lt;80 HSS MEMBER W/SPLICES &amp; HDWE</v>
          </cell>
          <cell r="K16">
            <v>224</v>
          </cell>
          <cell r="L16">
            <v>200</v>
          </cell>
        </row>
        <row r="17">
          <cell r="I17" t="str">
            <v>A-2410</v>
          </cell>
          <cell r="J17" t="str">
            <v>10' HALF BAY &lt;90 HSS MEMBER W/SPLICES &amp; HDWE</v>
          </cell>
          <cell r="K17">
            <v>327</v>
          </cell>
          <cell r="L17">
            <v>200</v>
          </cell>
        </row>
        <row r="18">
          <cell r="I18" t="str">
            <v>P-2124</v>
          </cell>
          <cell r="J18" t="str">
            <v>Accessory Saddle w/Logo</v>
          </cell>
          <cell r="K18">
            <v>48</v>
          </cell>
          <cell r="L18">
            <v>51</v>
          </cell>
        </row>
        <row r="19">
          <cell r="I19" t="str">
            <v>P-2018</v>
          </cell>
          <cell r="J19" t="str">
            <v>Trolley Bar</v>
          </cell>
          <cell r="K19">
            <v>150</v>
          </cell>
          <cell r="L19">
            <v>14</v>
          </cell>
        </row>
        <row r="20">
          <cell r="I20" t="str">
            <v>P-2330</v>
          </cell>
          <cell r="J20" t="str">
            <v>Monkey Bar w/ 4 Threaded Holes</v>
          </cell>
          <cell r="K20">
            <v>24</v>
          </cell>
          <cell r="L20">
            <v>20.5</v>
          </cell>
        </row>
        <row r="21">
          <cell r="I21" t="str">
            <v>P-2531</v>
          </cell>
          <cell r="J21" t="str">
            <v>Ladder Leg Footless</v>
          </cell>
          <cell r="K21">
            <v>203</v>
          </cell>
          <cell r="L21">
            <v>97.5</v>
          </cell>
        </row>
        <row r="22">
          <cell r="I22" t="str">
            <v>P-2024</v>
          </cell>
          <cell r="J22" t="str">
            <v>Zip Line Hss Tube</v>
          </cell>
          <cell r="K22">
            <v>58</v>
          </cell>
          <cell r="L22">
            <v>20</v>
          </cell>
        </row>
        <row r="23">
          <cell r="I23" t="str">
            <v>P-2025</v>
          </cell>
          <cell r="J23" t="str">
            <v>Trolley Bar Plate</v>
          </cell>
          <cell r="K23">
            <v>71</v>
          </cell>
          <cell r="L23">
            <v>12</v>
          </cell>
        </row>
        <row r="24">
          <cell r="I24" t="str">
            <v>P-2027</v>
          </cell>
          <cell r="J24" t="str">
            <v>Base Plate Shield</v>
          </cell>
          <cell r="K24">
            <v>36</v>
          </cell>
          <cell r="L24">
            <v>25</v>
          </cell>
        </row>
        <row r="25">
          <cell r="I25" t="str">
            <v>P-2028</v>
          </cell>
          <cell r="J25" t="str">
            <v>BASE PLATE SHIELD</v>
          </cell>
          <cell r="L25">
            <v>25</v>
          </cell>
        </row>
        <row r="26">
          <cell r="I26" t="str">
            <v>P-2102</v>
          </cell>
          <cell r="J26" t="str">
            <v>MONKEY BAR W/THREADS</v>
          </cell>
          <cell r="L26">
            <v>20</v>
          </cell>
        </row>
        <row r="27">
          <cell r="I27" t="str">
            <v>P-2216</v>
          </cell>
          <cell r="J27" t="str">
            <v>6' FULL BAY MONKEY BAR HSS MEMBER ALT W/LOGO</v>
          </cell>
          <cell r="L27">
            <v>150</v>
          </cell>
        </row>
        <row r="28">
          <cell r="I28" t="str">
            <v>P-2217</v>
          </cell>
          <cell r="J28" t="str">
            <v>7' FULL BAY MONKEY BAR HSS MEMBER ALT W/LOGO</v>
          </cell>
          <cell r="L28">
            <v>150</v>
          </cell>
        </row>
        <row r="29">
          <cell r="I29" t="str">
            <v>A-2418</v>
          </cell>
          <cell r="J29" t="str">
            <v>8' HALF BAY &lt;80  MONKEY BAR HSS MEMBER ALT W/LOGO</v>
          </cell>
          <cell r="L29">
            <v>190</v>
          </cell>
        </row>
        <row r="30">
          <cell r="I30" t="str">
            <v>A-2419</v>
          </cell>
          <cell r="J30" t="str">
            <v>9' HALF BAY &lt;80  MONKEY BAR HSS W/SPLICES &amp; HDWE</v>
          </cell>
          <cell r="L30">
            <v>200</v>
          </cell>
        </row>
        <row r="31">
          <cell r="I31" t="str">
            <v>A-2420</v>
          </cell>
          <cell r="J31" t="str">
            <v>10' HALF BAY &lt;90  MONKEY BAR HSS W/SPLICES &amp; HDWE</v>
          </cell>
          <cell r="L31">
            <v>200</v>
          </cell>
        </row>
        <row r="32">
          <cell r="I32" t="str">
            <v>P-2500</v>
          </cell>
          <cell r="J32" t="str">
            <v>CLIMBING WALL SHIELD</v>
          </cell>
          <cell r="L32">
            <v>52</v>
          </cell>
        </row>
        <row r="33">
          <cell r="I33" t="str">
            <v>P-2501</v>
          </cell>
          <cell r="J33" t="str">
            <v>LADDER TOP SHIELD 90 DEGREE</v>
          </cell>
          <cell r="L33">
            <v>52</v>
          </cell>
        </row>
        <row r="34">
          <cell r="I34" t="str">
            <v>P-2502</v>
          </cell>
          <cell r="J34" t="str">
            <v>LADDER TOP SHIELD 50 DEGREE</v>
          </cell>
          <cell r="L34">
            <v>52</v>
          </cell>
        </row>
        <row r="35">
          <cell r="I35" t="str">
            <v>A-2349</v>
          </cell>
          <cell r="J35" t="str">
            <v>WELD ASSY; EXTENDED LADDER RUNG FOR STEAMROLLER</v>
          </cell>
          <cell r="L35">
            <v>81</v>
          </cell>
        </row>
        <row r="36">
          <cell r="I36" t="str">
            <v>P-2513</v>
          </cell>
          <cell r="J36" t="str">
            <v>SUMMIT FLEX TROLLEY RAIL REAR BRACKET</v>
          </cell>
          <cell r="L36">
            <v>30</v>
          </cell>
        </row>
        <row r="37">
          <cell r="I37" t="str">
            <v>P-2526</v>
          </cell>
          <cell r="J37" t="str">
            <v>HARNESS SPREADER BAR - SUMMIT FLEX -TRS</v>
          </cell>
          <cell r="L37">
            <v>10.5</v>
          </cell>
        </row>
        <row r="38">
          <cell r="I38" t="str">
            <v>TR2000-A10</v>
          </cell>
          <cell r="J38" t="str">
            <v>10' Aluminum enclosed rail 550lbs. max weight</v>
          </cell>
          <cell r="M38">
            <v>215.1</v>
          </cell>
        </row>
        <row r="39">
          <cell r="I39" t="str">
            <v>TR2000-A09</v>
          </cell>
          <cell r="J39" t="str">
            <v>9' Aluminum enclosed rail 550lbs. max weight</v>
          </cell>
          <cell r="M39">
            <v>193.5</v>
          </cell>
        </row>
        <row r="40">
          <cell r="I40" t="str">
            <v>TR2000-A08</v>
          </cell>
          <cell r="J40" t="str">
            <v>8' Aluminum enclosed rail 550lbs. max weight</v>
          </cell>
          <cell r="M40">
            <v>171</v>
          </cell>
        </row>
        <row r="41">
          <cell r="I41" t="str">
            <v>TR2000-A07</v>
          </cell>
          <cell r="J41" t="str">
            <v>7' Aluminum enclosed rail 550lbs. max weight</v>
          </cell>
          <cell r="M41">
            <v>151.19999999999999</v>
          </cell>
        </row>
        <row r="42">
          <cell r="I42" t="str">
            <v>TRT2001</v>
          </cell>
          <cell r="J42" t="str">
            <v>Trolley for TR2000 rail</v>
          </cell>
          <cell r="M42">
            <v>106</v>
          </cell>
        </row>
        <row r="43">
          <cell r="I43" t="str">
            <v>TRN2016</v>
          </cell>
          <cell r="J43" t="str">
            <v>End Cap for TR2000 rail</v>
          </cell>
          <cell r="M43">
            <v>57</v>
          </cell>
        </row>
        <row r="44">
          <cell r="I44" t="str">
            <v>TRH2005</v>
          </cell>
          <cell r="J44" t="str">
            <v>Universal Threaded Rod Hanger</v>
          </cell>
          <cell r="M44">
            <v>113</v>
          </cell>
        </row>
        <row r="45">
          <cell r="I45" t="str">
            <v>SSG-SA-CFM</v>
          </cell>
          <cell r="J45" t="str">
            <v>Adventure Climbing Wall - Frame Mounted (Includes Climbing Holds)</v>
          </cell>
          <cell r="L45">
            <v>825</v>
          </cell>
        </row>
        <row r="46">
          <cell r="I46" t="str">
            <v>SSG-SA-CWM</v>
          </cell>
          <cell r="J46" t="str">
            <v>Adventure Climbing Wall - Wall Mounted-Metal Studs (Includes Climbing Holds)</v>
          </cell>
          <cell r="L46">
            <v>1062</v>
          </cell>
        </row>
        <row r="47">
          <cell r="I47" t="str">
            <v>K-5000</v>
          </cell>
          <cell r="J47" t="str">
            <v>Ball Rack Kit with Hardware</v>
          </cell>
          <cell r="L47">
            <v>192</v>
          </cell>
        </row>
        <row r="48">
          <cell r="I48" t="str">
            <v>A-2530</v>
          </cell>
          <cell r="J48" t="str">
            <v>ADVENTURE ZIPLINE COLLAR STIFFENER WELD ASSY</v>
          </cell>
          <cell r="L48">
            <v>53</v>
          </cell>
        </row>
        <row r="52">
          <cell r="I52" t="str">
            <v>6820H-LAD</v>
          </cell>
          <cell r="J52" t="str">
            <v>PLAYGROUND HANDLES, GATE HANDLES 1 EACH</v>
          </cell>
          <cell r="L52">
            <v>15</v>
          </cell>
        </row>
        <row r="53">
          <cell r="I53" t="str">
            <v>6820H-LZ-1</v>
          </cell>
          <cell r="J53" t="str">
            <v>RED HEAD TRUBOLT 1/2 X 4.25 WEDGE ANCHOR EACH</v>
          </cell>
          <cell r="L53">
            <v>1.5</v>
          </cell>
        </row>
        <row r="54">
          <cell r="I54" t="str">
            <v>6820H-LDD</v>
          </cell>
          <cell r="J54" t="str">
            <v>3/8 SWIVEL EYE BOLT (AAC BRKT SWIVEL OPTION)</v>
          </cell>
          <cell r="L54">
            <v>78.38</v>
          </cell>
        </row>
        <row r="55">
          <cell r="I55" t="str">
            <v>6820H-LAC-G</v>
          </cell>
          <cell r="J55" t="str">
            <v>EYE BOLT; 3/8-16 X .75 LENGTH</v>
          </cell>
          <cell r="L55">
            <v>6</v>
          </cell>
        </row>
        <row r="56">
          <cell r="I56" t="str">
            <v>6820H-LP</v>
          </cell>
          <cell r="J56" t="str">
            <v>EYE BOLT; 1/2-13 X 4 LENGTH</v>
          </cell>
          <cell r="L56">
            <v>8.9499999999999993</v>
          </cell>
        </row>
        <row r="57">
          <cell r="I57" t="str">
            <v>6820H-LY</v>
          </cell>
          <cell r="J57" t="str">
            <v>EYE BOLT; 1/4-20 X 2 LENGTH</v>
          </cell>
          <cell r="L57">
            <v>6.5</v>
          </cell>
        </row>
        <row r="58">
          <cell r="I58" t="str">
            <v>6820H-LE-G</v>
          </cell>
          <cell r="J58" t="str">
            <v>HITCH PIN SWIVEL LOCK 1/2 X 3-1/2</v>
          </cell>
          <cell r="L58">
            <v>28.91</v>
          </cell>
        </row>
        <row r="59">
          <cell r="I59" t="str">
            <v>6820H-LC</v>
          </cell>
          <cell r="J59" t="str">
            <v>HEX NYLON INSERT LOCK NUT, ZINC PLATED GRADE 5 STEEL, 1/2-13</v>
          </cell>
          <cell r="L59">
            <v>0.34</v>
          </cell>
        </row>
        <row r="60">
          <cell r="I60" t="str">
            <v>6820H-LX</v>
          </cell>
          <cell r="J60" t="str">
            <v>FLAT SHOULDER ROD END BOLT 5/16-18 X 1 SHANK THREAD</v>
          </cell>
          <cell r="L60">
            <v>15.5</v>
          </cell>
        </row>
        <row r="61">
          <cell r="I61" t="str">
            <v>6820H-LF</v>
          </cell>
          <cell r="J61" t="str">
            <v>HEX NYLON INSERT LOCK NUT, ZINC PLATED GRADE 5 STEEL, 3/8-16</v>
          </cell>
          <cell r="L61">
            <v>0.25</v>
          </cell>
        </row>
        <row r="62">
          <cell r="I62" t="str">
            <v>6820H-LB</v>
          </cell>
          <cell r="J62" t="str">
            <v>WASHER 1/2 FLAT Zinc plated grade 5 steel</v>
          </cell>
          <cell r="L62">
            <v>0.18</v>
          </cell>
        </row>
        <row r="63">
          <cell r="I63" t="str">
            <v>6820H-LA</v>
          </cell>
          <cell r="J63" t="str">
            <v>HEX BOLT, ZINC PLATED GRADE 5 STEEL, 1/2-13 X 4-1/2"</v>
          </cell>
          <cell r="L63">
            <v>1</v>
          </cell>
        </row>
        <row r="64">
          <cell r="I64" t="str">
            <v>6820H-LAG</v>
          </cell>
          <cell r="J64" t="str">
            <v>HEX BOLT, ZINC PLATED GRADE 5 STEEL, 1/2-13 X 4"</v>
          </cell>
          <cell r="L64">
            <v>0.95</v>
          </cell>
        </row>
        <row r="65">
          <cell r="I65" t="str">
            <v>6820H-LH</v>
          </cell>
          <cell r="J65" t="str">
            <v>TAP BOLT, ZINC PLATED GRADE 5 STEEL, 3/8-16 X 2-1/4"</v>
          </cell>
          <cell r="L65">
            <v>0.55000000000000004</v>
          </cell>
        </row>
        <row r="66">
          <cell r="I66" t="str">
            <v>6820H-LG</v>
          </cell>
          <cell r="J66" t="str">
            <v>TAP BOLT, ZINC PLATED GRADE 5 STEEL, 3/8-16 X 1-3/4"</v>
          </cell>
          <cell r="L66">
            <v>0.4</v>
          </cell>
        </row>
        <row r="67">
          <cell r="I67" t="str">
            <v>6820H-LI</v>
          </cell>
          <cell r="J67" t="str">
            <v>HEX BOLT, ZINC PLATED GRADE 5 STEEL, 1/4-20 X 2-3/4"</v>
          </cell>
          <cell r="L67">
            <v>0.26</v>
          </cell>
        </row>
        <row r="68">
          <cell r="I68" t="str">
            <v>6820H-LJ</v>
          </cell>
          <cell r="J68" t="str">
            <v>HEX BOLT, ZINC PLATED GRADE 5 STEEL, 1/4-20 X 4"</v>
          </cell>
          <cell r="L68">
            <v>0.5</v>
          </cell>
        </row>
        <row r="69">
          <cell r="I69" t="str">
            <v>6820H-LK</v>
          </cell>
          <cell r="J69" t="str">
            <v>USS FLAT WASHER, ZINC PLATED GRADE 5 STEEL, 1/4</v>
          </cell>
          <cell r="L69">
            <v>0.09</v>
          </cell>
        </row>
        <row r="70">
          <cell r="I70" t="str">
            <v>6820H-LL</v>
          </cell>
          <cell r="J70" t="str">
            <v>HEX NYLON INSERT LOCK NUT, ZINC PLATED GRADE 5 STEEL, 1/4-20</v>
          </cell>
          <cell r="L70">
            <v>0.14000000000000001</v>
          </cell>
        </row>
        <row r="71">
          <cell r="I71" t="str">
            <v>6820H-LT</v>
          </cell>
          <cell r="J71" t="str">
            <v>COUPLING NUT, ZINC PLATED STEEL, 5/16-18 X 1-3/4</v>
          </cell>
          <cell r="L71">
            <v>1.25</v>
          </cell>
        </row>
        <row r="72">
          <cell r="I72" t="str">
            <v>6820H-LAB</v>
          </cell>
          <cell r="J72" t="str">
            <v>HEX NUT, ZINC PLATED GRADE 5 STEEL, 5/16-18</v>
          </cell>
          <cell r="L72">
            <v>0.11</v>
          </cell>
        </row>
        <row r="73">
          <cell r="I73" t="str">
            <v>6820H-LAA</v>
          </cell>
          <cell r="J73" t="str">
            <v>LOCK WASHER, ZINC PLATED STEEL, 5/16</v>
          </cell>
          <cell r="L73">
            <v>7.0000000000000007E-2</v>
          </cell>
        </row>
        <row r="74">
          <cell r="I74" t="str">
            <v>6820H-LU</v>
          </cell>
          <cell r="J74" t="str">
            <v>USS FLAT WASHER, ZINC PLATED GRADE 5 STEEL, 5/16</v>
          </cell>
          <cell r="L74">
            <v>0.09</v>
          </cell>
        </row>
        <row r="75">
          <cell r="I75" t="str">
            <v>6820H-LV</v>
          </cell>
          <cell r="J75" t="str">
            <v>HEX BOLT, ZINC PLATED GRADE 5 STEEL, 5/16"-18 X 1"</v>
          </cell>
          <cell r="L75">
            <v>0.3</v>
          </cell>
        </row>
        <row r="76">
          <cell r="I76" t="str">
            <v>6820H-LW</v>
          </cell>
          <cell r="J76" t="str">
            <v>HEX NYLON INSERT LOCK NUT, ZINC PLATED GRADE 5 STEEL, 5/16-18</v>
          </cell>
          <cell r="L76">
            <v>0.17</v>
          </cell>
        </row>
        <row r="77">
          <cell r="I77" t="str">
            <v>6820H-LQ</v>
          </cell>
          <cell r="J77" t="str">
            <v>TAP BOLT, ZINC PLATED GRADE 5 STEEL, 1/2-13 X 6"</v>
          </cell>
          <cell r="L77">
            <v>1.1599999999999999</v>
          </cell>
        </row>
        <row r="78">
          <cell r="I78" t="str">
            <v>6820H-LO</v>
          </cell>
          <cell r="J78" t="str">
            <v>HEX BOLT, ZINC PLATED GRADE 5 STEEL, 1/2-13 X 7"</v>
          </cell>
          <cell r="L78">
            <v>1.47</v>
          </cell>
        </row>
        <row r="79">
          <cell r="I79" t="str">
            <v>6820H-LR</v>
          </cell>
          <cell r="J79" t="str">
            <v>HEX NUT, ZINC PLATED GRADE 5 STEEL, 1/2-13</v>
          </cell>
          <cell r="L79">
            <v>0.23</v>
          </cell>
        </row>
        <row r="80">
          <cell r="I80" t="str">
            <v>6820H-LM</v>
          </cell>
          <cell r="J80" t="str">
            <v>USS FLAT WASHER, ZINC PLATED GRADE 5 STEEL, 3/8</v>
          </cell>
          <cell r="L80">
            <v>0.1</v>
          </cell>
        </row>
        <row r="81">
          <cell r="I81" t="str">
            <v>6820H-LN</v>
          </cell>
          <cell r="J81" t="str">
            <v>HEX BOLT, ZINC PLATED GRADE 5 STEEL, 1/2-13 X 3-1/2"</v>
          </cell>
          <cell r="L81">
            <v>1.06</v>
          </cell>
        </row>
        <row r="82">
          <cell r="I82" t="str">
            <v>6820H-LS</v>
          </cell>
          <cell r="J82" t="str">
            <v>RUBBER BUMPERS, 3/4 OD X 1/16 HIGH BLACK 25 PACK</v>
          </cell>
          <cell r="L82">
            <v>11</v>
          </cell>
        </row>
        <row r="83">
          <cell r="I83" t="str">
            <v>6820H-LAE</v>
          </cell>
          <cell r="J83" t="str">
            <v>TAP BOLT, ZINC PLATED GRADE 5 STEEL, 3/8-16 X 4"</v>
          </cell>
          <cell r="L83">
            <v>1.18</v>
          </cell>
        </row>
        <row r="84">
          <cell r="I84" t="str">
            <v>6820H-LAF</v>
          </cell>
          <cell r="J84" t="str">
            <v>V-RING BOLT ON ANCHOR</v>
          </cell>
          <cell r="L84">
            <v>3.42</v>
          </cell>
        </row>
        <row r="85">
          <cell r="I85" t="str">
            <v>6820H-LAH</v>
          </cell>
          <cell r="J85" t="str">
            <v>BUTTON HEAD HEX DRIVE SCREW, 3/8"-16 X 1-1/2"</v>
          </cell>
          <cell r="L85">
            <v>0.84</v>
          </cell>
        </row>
        <row r="86">
          <cell r="I86" t="str">
            <v>6820H-LAI</v>
          </cell>
          <cell r="J86" t="str">
            <v>QUICK SHIFT BRACKET BENT PIN W/LANYARD</v>
          </cell>
          <cell r="L86">
            <v>9.3170000000000002</v>
          </cell>
        </row>
        <row r="87">
          <cell r="I87" t="str">
            <v>6820H-LAJ</v>
          </cell>
          <cell r="J87" t="str">
            <v>HEX BOLT, ZINC PLATED GRADE 5 STEEL, 1/2-13 X 5"</v>
          </cell>
          <cell r="L87">
            <v>1.74</v>
          </cell>
        </row>
        <row r="88">
          <cell r="I88" t="str">
            <v>6820H-LAK</v>
          </cell>
          <cell r="J88" t="str">
            <v>1/2" x 4" Strong-Tie THD50400H Titen HD Screw Anchor, Zinc</v>
          </cell>
          <cell r="L88">
            <v>2.75</v>
          </cell>
        </row>
        <row r="94">
          <cell r="L94" t="str">
            <v>RESILITE</v>
          </cell>
        </row>
        <row r="95">
          <cell r="I95" t="str">
            <v>SSM80100</v>
          </cell>
          <cell r="J95" t="str">
            <v>100" x 80" x 3.25" Single-Fold CLM Style Mat</v>
          </cell>
          <cell r="L95">
            <v>750</v>
          </cell>
        </row>
        <row r="96">
          <cell r="I96" t="str">
            <v>COLW2812</v>
          </cell>
          <cell r="J96" t="str">
            <v>60" x 3-1/2" x 3-1/2" x 1.375" Column Wrap</v>
          </cell>
          <cell r="L96">
            <v>95</v>
          </cell>
        </row>
        <row r="97">
          <cell r="I97" t="str">
            <v>COLU2812</v>
          </cell>
          <cell r="J97" t="str">
            <v>30" x 3-1/2" x 3-1/2" x 3-1/2" x 1.375" Column Wrap</v>
          </cell>
          <cell r="L97">
            <v>76</v>
          </cell>
        </row>
        <row r="98">
          <cell r="I98" t="str">
            <v>SFGPC</v>
          </cell>
          <cell r="J98" t="str">
            <v>Custom Gusset Plate Pads - See Drawing</v>
          </cell>
          <cell r="L98">
            <v>100</v>
          </cell>
        </row>
        <row r="99">
          <cell r="I99" t="str">
            <v>SSFLEX69722</v>
          </cell>
          <cell r="L99">
            <v>284</v>
          </cell>
        </row>
        <row r="100">
          <cell r="I100" t="str">
            <v>CLM325</v>
          </cell>
          <cell r="J100" t="str">
            <v>Soar-XL Floor Mat System (138" x 80" x 3.25") - Single Fold</v>
          </cell>
          <cell r="L100">
            <v>1032</v>
          </cell>
        </row>
        <row r="101">
          <cell r="I101" t="str">
            <v>SSUSP72</v>
          </cell>
          <cell r="J101" t="str">
            <v>Adventure U Shaped Column Wrap Ladder Leg (72" x 2" x 3.875" x 2" x 1.375" )</v>
          </cell>
          <cell r="L101">
            <v>120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
  <rv s="0">
    <v>en-US</v>
    <v>av3wnm</v>
    <v>268435456</v>
    <v>1</v>
    <v>Powered by Refinitiv</v>
    <v>0</v>
    <v>CAD/USD</v>
    <v>2</v>
    <v>3</v>
    <v>Finance</v>
    <v>4</v>
    <v>0.74170000000000003</v>
    <v>0.70169999999999999</v>
    <v>-1E-4</v>
    <v>-1.4090000000000001E-4</v>
    <v>USD</v>
    <v>CAD</v>
    <v>0.71009999999999995</v>
    <v>Currency Pair</v>
    <v>46225.96125</v>
    <v>0.70979999999999999</v>
    <v>Canadian Dollar/US Dollar FX Cross Rate</v>
    <v>0.7097</v>
    <v>0.70979999999999999</v>
    <v>0.7097</v>
    <v>CADUSD</v>
    <v>CAD/USD</v>
  </rv>
  <rv s="1">
    <v>0</v>
  </rv>
  <rv s="0">
    <v>en-US</v>
    <v>avylur</v>
    <v>268435456</v>
    <v>1</v>
    <v>Powered by Refinitiv</v>
    <v>0</v>
    <v>USD/CAD</v>
    <v>2</v>
    <v>5</v>
    <v>Finance</v>
    <v>4</v>
    <v>1.4248000000000001</v>
    <v>1.3479000000000001</v>
    <v>-1E-4</v>
    <v>-7.0989999999999996E-5</v>
    <v>CAD</v>
    <v>USD</v>
    <v>1.4089</v>
    <v>Currency Pair</v>
    <v>46225.96125</v>
    <v>1.4083000000000001</v>
    <v>US Dollar/Canadian Dollar FX Spot Rate</v>
    <v>1.4086000000000001</v>
    <v>1.4087000000000001</v>
    <v>1.4086000000000001</v>
    <v>USDCAD</v>
    <v>USD/CAD</v>
  </rv>
  <rv s="1">
    <v>2</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6">
    <spb s="0">
      <v>0</v>
      <v>Name</v>
    </spb>
    <spb s="1">
      <v>0</v>
      <v>0</v>
      <v>0</v>
    </spb>
    <spb s="2">
      <v>1</v>
      <v>1</v>
    </spb>
    <spb s="3">
      <v>1</v>
      <v>1</v>
      <v>2</v>
      <v>1</v>
      <v>1</v>
      <v>1</v>
      <v>3</v>
      <v>1</v>
      <v>1</v>
      <v>1</v>
      <v>4</v>
      <v>5</v>
    </spb>
    <spb s="4">
      <v>GMT</v>
    </spb>
    <spb s="3">
      <v>6</v>
      <v>6</v>
      <v>2</v>
      <v>6</v>
      <v>6</v>
      <v>6</v>
      <v>3</v>
      <v>6</v>
      <v>6</v>
      <v>6</v>
      <v>4</v>
      <v>5</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NumberFormat" t="s"/>
    <rPr n="IsTitleField" t="b"/>
  </richProperties>
  <richStyles>
    <rSty dxfid="1">
      <rpv i="0">_([$$-en-US]* #,##0.00_);_([$$-en-US]* (#,##0.00);_([$$-en-US]* "-"??_);_(@_)</rpv>
    </rSty>
    <rSty>
      <rpv i="1">1</rpv>
    </rSty>
    <rSty dxfid="3"/>
    <rSty dxfid="2"/>
    <rSty dxfid="0">
      <rpv i="0">0.00</rpv>
    </rSty>
    <rSty dxfid="1">
      <rpv i="0">_-[$$-en-CA]* #,##0.00_-;-[$$-en-CA]* #,##0.00_-;_-[$$-en-CA]*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gp/product/B0937DRYYF/ref=ppx_yo_dt_b_asin_title_o03_s00?ie=UTF8&amp;psc=1" TargetMode="External"/><Relationship Id="rId13" Type="http://schemas.openxmlformats.org/officeDocument/2006/relationships/hyperlink" Target="https://www.amazon.com/Gorilla-Playsets-07-0026-Skateboard-Standing/dp/B01C3I4SL8/ref=d_pd_di_pref_dp_d_sccl_2_2/133-9852853-0537624?pd_rd_w=y6m3J&amp;content-id=amzn1.sym.1bcb76e6-f13f-43d9-8334-005aa8e326fa&amp;pf_rd_p=1bcb76e6-f13f-43d9-8334-005aa8e326fa&amp;pf_rd_r=38SPV4BR9QQECTFEKYP0&amp;pd_rd_wg=DUC9e&amp;pd_rd_r=ab12b98b-8540-4e43-82d5-c4bc3d2348f8&amp;pd_rd_i=B01C3I4SL8&amp;psc=1" TargetMode="External"/><Relationship Id="rId18" Type="http://schemas.openxmlformats.org/officeDocument/2006/relationships/hyperlink" Target="https://shopmtn.com/products/petzl-lift-spacer?variant=48189721094&#164;cy=USD&amp;utm_medium=product_sync&amp;utm_source=google&amp;utm_content=sag_organic&amp;utm_campaign=sag_organic&amp;gclid=CjwKCAjws9ipBhB1EiwAccEi1EYnIfbrRNlnjI3urQgwi2eEcmDxdsbzN_AYiUXSu-stxVabkQ8jmBoCLrcQAvD_BwE" TargetMode="External"/><Relationship Id="rId3" Type="http://schemas.openxmlformats.org/officeDocument/2006/relationships/hyperlink" Target="https://www.amazon.com/Jalunth-Kids-Playground-Play-Safety/dp/B08SMN18WG/ref=sxin_16_pa_sp_search_thematic_sspa?content-id=amzn1.sym.4a292f39-c27c-4e62-9abd-d68116d07607%3Aamzn1.sym.4a292f39-c27c-4e62-9abd-d68116d07607&amp;crid=2TV6TSQE4WOQW&amp;cv_ct_cx=Climbing%2BCargo%2BNet&amp;keywords=Climbing%2BCargo%2BNet&amp;pd_rd_i=B08SMN18WG&amp;pd_rd_r=cac826c8-8437-434b-9fc6-8acaf58b702f&amp;pd_rd_w=8He18&amp;pd_rd_wg=xadbS&amp;pf_rd_p=4a292f39-c27c-4e62-9abd-d68116d07607&amp;pf_rd_r=K05X1XH70GYF042E306X&amp;qid=1691037537&amp;sbo=RZvfv%2F%2FHxDF%2BO5021pAnSA%3D%3D&amp;sprefix=climbing%2Bcargo%2Bnet%2Caps%2C124&amp;sr=1-1-2b34d040-5c83-4b7f-ba01-15975dfb8828-spons&amp;sp_csd=d2lkZ2V0TmFtZT1zcF9zZWFyY2hfdGhlbWF0aWM&amp;th=1" TargetMode="External"/><Relationship Id="rId21" Type="http://schemas.openxmlformats.org/officeDocument/2006/relationships/printerSettings" Target="../printerSettings/printerSettings3.bin"/><Relationship Id="rId7" Type="http://schemas.openxmlformats.org/officeDocument/2006/relationships/hyperlink" Target="https://www.amazon.com/ZNCMRR-Platforms-Playground-Accessories-Including/dp/B07PQHSZPR/ref=pd_bxgy_sccl_2/133-9852853-0537624?pd_rd_w=4Eoke&amp;content-id=amzn1.sym.26a5c67f-1a30-486b-bb90-b523ad38d5a0&amp;pf_rd_p=26a5c67f-1a30-486b-bb90-b523ad38d5a0&amp;pf_rd_r=18KXVQ3ETEE301WWKJQW&amp;pd_rd_wg=pbpSd&amp;pd_rd_r=c7f0a39d-dd27-4dec-bbb8-d6035617e001&amp;pd_rd_i=B07PQHSZPR&amp;th=1" TargetMode="External"/><Relationship Id="rId12" Type="http://schemas.openxmlformats.org/officeDocument/2006/relationships/hyperlink" Target="https://www.amazon.com/gp/product/B07MB985GW/ref=ppx_yo_dt_b_asin_title_o03_s03?ie=UTF8&amp;th=1" TargetMode="External"/><Relationship Id="rId17" Type="http://schemas.openxmlformats.org/officeDocument/2006/relationships/hyperlink" Target="https://www.southpaw.com/advantage-line-bolster-swing/" TargetMode="External"/><Relationship Id="rId2" Type="http://schemas.openxmlformats.org/officeDocument/2006/relationships/hyperlink" Target="https://www.amazon.com/Hyponix-Ninja-Warrior-Obstacle-Course/dp/B0BGDQF46S/ref=sr_1_1_sspa?crid=39I5X5XVH5CDF&amp;keywords=obstacle%2Bcourse%2Btree&amp;qid=1691037424&amp;sr=8-1-spons&amp;sp_csd=d2lkZ2V0TmFtZT1zcF9hdGY&amp;th=1" TargetMode="External"/><Relationship Id="rId16" Type="http://schemas.openxmlformats.org/officeDocument/2006/relationships/hyperlink" Target="https://www.autism-products.com/product/advantage-line-platform-swing/?keyword_session_id=vt~adwords|kt~|mt~|ta~&amp;_vsrefdom=wordstream&amp;gclid=Cj0KCQjwuZGnBhD1ARIsACxbAVhXZ-HDFzJohuVfBId9kTDDQvxySBscB6b1e1mpA-NVsJJyu6-vFrwaApKEEALw_wcB" TargetMode="External"/><Relationship Id="rId20" Type="http://schemas.openxmlformats.org/officeDocument/2006/relationships/hyperlink" Target="https://www.autism-products.com/product/5x5-crash-pad-in-blue/?keyword_session_id=vt~adwords|kt~|mt~|ta~&amp;_vsrefdom=wordstream&amp;gclid=Cj0KCQjwuZGnBhD1ARIsACxbAVh3MTFsAwiUx7GNzCcJL8LpSWxWp-bVn2gyracFSAld1LPvsAYU_RcaAnJKEALw_wcB" TargetMode="External"/><Relationship Id="rId1" Type="http://schemas.openxmlformats.org/officeDocument/2006/relationships/hyperlink" Target="https://www.amazon.com/Lilys-Things-Cargo-Net-Attachment/dp/B09T76V33V/ref=pd_bxgy_sccl_2/133-9852853-0537624?pd_rd_w=xqVD5&amp;content-id=amzn1.sym.26a5c67f-1a30-486b-bb90-b523ad38d5a0&amp;pf_rd_p=26a5c67f-1a30-486b-bb90-b523ad38d5a0&amp;pf_rd_r=6DMYBN8653AQBKQT9BGF&amp;pd_rd_wg=1M2AD&amp;pd_rd_r=e0534a33-ac8e-4370-a792-e5d2cc3227d2&amp;pd_rd_i=B09T76V33V&amp;psc=1" TargetMode="External"/><Relationship Id="rId6" Type="http://schemas.openxmlformats.org/officeDocument/2006/relationships/hyperlink" Target="https://www.amazon.com/Sunnyglade-Plastic-Playground-Accessories-Replacement/dp/B07MC3144W/ref=pd_bxgy_sccl_1/133-9852853-0537624?pd_rd_w=OgbHx&amp;content-id=amzn1.sym.26a5c67f-1a30-486b-bb90-b523ad38d5a0&amp;pf_rd_p=26a5c67f-1a30-486b-bb90-b523ad38d5a0&amp;pf_rd_r=66SHYM25TNGZMD2CF374&amp;pd_rd_wg=U2ODB&amp;pd_rd_r=d73d5cd5-6055-43bb-8998-c06f60b09813&amp;pd_rd_i=B07MC3144W&amp;psc=1" TargetMode="External"/><Relationship Id="rId11" Type="http://schemas.openxmlformats.org/officeDocument/2006/relationships/hyperlink" Target="https://www.amazon.com/gp/product/B07WGZP8XT/ref=ppx_yo_dt_b_asin_title_o03_s03?ie=UTF8&amp;th=1" TargetMode="External"/><Relationship Id="rId5" Type="http://schemas.openxmlformats.org/officeDocument/2006/relationships/hyperlink" Target="https://www.amazon.com/Swing-set-accessories-trapeze-bar/dp/B0193YG8GI/ref=d_pb_allspark_dp_sims_pao_desktop_session_based_sccl_5_2/133-9852853-0537624?pd_rd_w=wGdn6&amp;content-id=amzn1.sym.6b5008ac-c24a-4aea-a3ea-015a531184f5&amp;pf_rd_p=6b5008ac-c24a-4aea-a3ea-015a531184f5&amp;pf_rd_r=9CBTG6MWN5GN7R4GDSWG&amp;pd_rd_wg=kE2Sv&amp;pd_rd_r=90a169ed-0c21-439a-ad75-6b4c1b26aba7&amp;pd_rd_i=B0193YG8GI&amp;th=1" TargetMode="External"/><Relationship Id="rId15" Type="http://schemas.openxmlformats.org/officeDocument/2006/relationships/hyperlink" Target="https://www.amazon.com/Lilys-Things-Cargo-Net-Attachment/dp/B09T76V33V/ref=sr_1_32?crid=2OBTE3EF1AKOR&amp;keywords=cargo+bridge&amp;qid=1692712859&amp;sprefix=cargo+bridge%2Caps%2C141&amp;sr=8-32" TargetMode="External"/><Relationship Id="rId23" Type="http://schemas.openxmlformats.org/officeDocument/2006/relationships/comments" Target="../comments1.xml"/><Relationship Id="rId10" Type="http://schemas.openxmlformats.org/officeDocument/2006/relationships/hyperlink" Target="https://www.amazon.com/gp/product/B08DTP539F/ref=ppx_yo_dt_b_asin_title_o09_s01?ie=UTF8&amp;psc=1" TargetMode="External"/><Relationship Id="rId19" Type="http://schemas.openxmlformats.org/officeDocument/2006/relationships/hyperlink" Target="https://www.mcmaster.com/products/bungee-cords/heavy-duty-abrasion-resistant-elastic-tie-downs/" TargetMode="External"/><Relationship Id="rId4" Type="http://schemas.openxmlformats.org/officeDocument/2006/relationships/hyperlink" Target="https://www.amazon.com/Fong-Climbing-Cargo-Net-Black/dp/B07V3J9S2R/ref=sr_1_6?keywords=fong+climbing+net&amp;qid=1691037724&amp;sprefix=Fong+%2Caps%2C110&amp;sr=8-6" TargetMode="External"/><Relationship Id="rId9" Type="http://schemas.openxmlformats.org/officeDocument/2006/relationships/hyperlink" Target="https://www.amazon.com/gp/product/B085KXHKBS/ref=ppx_yo_dt_b_asin_title_o09_s00?ie=UTF8&amp;psc=1" TargetMode="External"/><Relationship Id="rId14" Type="http://schemas.openxmlformats.org/officeDocument/2006/relationships/hyperlink" Target="https://www.amazon.com/dp/B08BJ7S8L5/ref=twister_B0CBK4C793?_encoding=UTF8&amp;psc=1" TargetMode="External"/><Relationship Id="rId22"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mailto:ckinsey@ryancapital.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borderbuddy.com/quote"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FF803-B26B-420F-AE31-0AD05DDA0932}">
  <sheetPr codeName="Sheet1">
    <tabColor rgb="FFFFFF00"/>
  </sheetPr>
  <dimension ref="A1:L103"/>
  <sheetViews>
    <sheetView workbookViewId="0">
      <selection activeCell="C31" sqref="C31"/>
    </sheetView>
  </sheetViews>
  <sheetFormatPr defaultRowHeight="15" customHeight="1"/>
  <cols>
    <col min="1" max="1" width="36.85546875" style="46" customWidth="1"/>
    <col min="2" max="2" width="38.140625" bestFit="1" customWidth="1"/>
    <col min="3" max="3" width="22.85546875" style="53" customWidth="1"/>
    <col min="6" max="6" width="82.7109375" style="101" customWidth="1"/>
    <col min="7" max="7" width="10.7109375" bestFit="1" customWidth="1"/>
    <col min="8" max="8" width="11.42578125" bestFit="1" customWidth="1"/>
  </cols>
  <sheetData>
    <row r="1" spans="1:12" ht="19.5">
      <c r="A1" s="844" t="s">
        <v>0</v>
      </c>
      <c r="B1" s="844"/>
      <c r="E1" s="841" t="s">
        <v>1</v>
      </c>
      <c r="F1" s="842"/>
      <c r="G1" s="842"/>
      <c r="H1" s="843"/>
    </row>
    <row r="2" spans="1:12" ht="14.45" customHeight="1">
      <c r="A2" s="256" t="s">
        <v>2</v>
      </c>
      <c r="B2" s="482" t="str">
        <f>ZAPIER!C5</f>
        <v>Tyler Galiotto</v>
      </c>
      <c r="E2" s="5" t="s">
        <v>3</v>
      </c>
      <c r="F2" s="285" t="s">
        <v>4</v>
      </c>
      <c r="G2" s="5" t="s">
        <v>5</v>
      </c>
      <c r="H2" s="5" t="s">
        <v>6</v>
      </c>
    </row>
    <row r="3" spans="1:12">
      <c r="A3" s="46" t="s">
        <v>7</v>
      </c>
      <c r="B3" s="482" t="str">
        <f>ZAPIER!D5</f>
        <v>Soar Autism Center - South Fort Collins</v>
      </c>
      <c r="E3">
        <v>1</v>
      </c>
      <c r="F3" s="101" t="s">
        <v>8</v>
      </c>
      <c r="G3" t="s">
        <v>9</v>
      </c>
      <c r="H3" s="61">
        <v>44784</v>
      </c>
    </row>
    <row r="4" spans="1:12">
      <c r="A4" s="46" t="s">
        <v>10</v>
      </c>
      <c r="B4" s="482" t="str">
        <f>ZAPIER!E5</f>
        <v>3801 Automation Way</v>
      </c>
      <c r="E4">
        <v>2</v>
      </c>
      <c r="F4" s="101" t="s">
        <v>11</v>
      </c>
      <c r="G4" t="s">
        <v>9</v>
      </c>
      <c r="H4" s="61">
        <v>44901</v>
      </c>
    </row>
    <row r="5" spans="1:12">
      <c r="A5" s="46" t="s">
        <v>12</v>
      </c>
      <c r="B5" s="482" t="str">
        <f>ZAPIER!F5&amp;", "&amp;ZAPIER!G5</f>
        <v>Fort Collins, CO</v>
      </c>
      <c r="E5">
        <v>3</v>
      </c>
      <c r="F5" s="101" t="s">
        <v>13</v>
      </c>
      <c r="G5" t="s">
        <v>9</v>
      </c>
      <c r="H5" s="61">
        <v>44932</v>
      </c>
    </row>
    <row r="6" spans="1:12">
      <c r="A6" s="46" t="s">
        <v>14</v>
      </c>
      <c r="B6" s="483">
        <f>ZAPIER!H5</f>
        <v>80525</v>
      </c>
      <c r="E6">
        <v>4</v>
      </c>
      <c r="F6" s="101" t="s">
        <v>15</v>
      </c>
      <c r="G6" t="s">
        <v>9</v>
      </c>
      <c r="H6" s="61">
        <v>44938</v>
      </c>
    </row>
    <row r="7" spans="1:12">
      <c r="A7" s="46" t="s">
        <v>16</v>
      </c>
      <c r="B7" s="482" t="str">
        <f>B4</f>
        <v>3801 Automation Way</v>
      </c>
      <c r="C7" s="468"/>
      <c r="E7">
        <v>5</v>
      </c>
      <c r="F7" s="101" t="s">
        <v>17</v>
      </c>
      <c r="G7" t="s">
        <v>9</v>
      </c>
      <c r="H7" s="61">
        <v>44978</v>
      </c>
    </row>
    <row r="8" spans="1:12">
      <c r="A8" s="46" t="s">
        <v>18</v>
      </c>
      <c r="B8" s="344" t="str">
        <f>B5</f>
        <v>Fort Collins, CO</v>
      </c>
      <c r="C8" s="468"/>
      <c r="E8">
        <v>6</v>
      </c>
      <c r="F8" s="101" t="s">
        <v>19</v>
      </c>
      <c r="G8" t="s">
        <v>9</v>
      </c>
      <c r="H8" s="61">
        <v>44992</v>
      </c>
    </row>
    <row r="9" spans="1:12">
      <c r="A9" s="46" t="s">
        <v>20</v>
      </c>
      <c r="B9" s="484">
        <f t="shared" ref="B9" si="0">B6</f>
        <v>80525</v>
      </c>
      <c r="E9">
        <v>7</v>
      </c>
      <c r="F9" s="101" t="s">
        <v>21</v>
      </c>
      <c r="G9" t="s">
        <v>9</v>
      </c>
      <c r="H9" s="61">
        <v>45001</v>
      </c>
    </row>
    <row r="10" spans="1:12">
      <c r="A10" s="46" t="s">
        <v>22</v>
      </c>
      <c r="B10" s="657" t="str">
        <f>ZAPIER!I5</f>
        <v>United States</v>
      </c>
      <c r="E10">
        <v>8</v>
      </c>
      <c r="F10" s="101" t="s">
        <v>23</v>
      </c>
      <c r="G10" t="s">
        <v>9</v>
      </c>
      <c r="H10" s="61"/>
    </row>
    <row r="11" spans="1:12">
      <c r="A11" s="256" t="s">
        <v>24</v>
      </c>
      <c r="B11" s="543" t="str">
        <f>ZAPIER!J5</f>
        <v>5203895979</v>
      </c>
      <c r="E11">
        <v>9</v>
      </c>
      <c r="F11" s="101" t="s">
        <v>25</v>
      </c>
      <c r="G11" t="s">
        <v>9</v>
      </c>
      <c r="H11" s="61">
        <v>45079</v>
      </c>
      <c r="L11" s="338"/>
    </row>
    <row r="12" spans="1:12">
      <c r="A12" s="256" t="s">
        <v>26</v>
      </c>
      <c r="B12" s="544" t="str">
        <f>ZAPIER!K5</f>
        <v/>
      </c>
      <c r="E12">
        <v>10</v>
      </c>
      <c r="F12" s="101" t="s">
        <v>27</v>
      </c>
      <c r="G12" t="s">
        <v>9</v>
      </c>
      <c r="H12" s="61">
        <v>45098</v>
      </c>
    </row>
    <row r="13" spans="1:12">
      <c r="A13" s="257" t="s">
        <v>28</v>
      </c>
      <c r="B13" s="481">
        <f>ZAPIER!B2</f>
        <v>12552093278</v>
      </c>
      <c r="E13">
        <v>11</v>
      </c>
      <c r="F13" s="101" t="s">
        <v>29</v>
      </c>
      <c r="G13" t="s">
        <v>9</v>
      </c>
      <c r="H13" s="61">
        <v>45101</v>
      </c>
    </row>
    <row r="14" spans="1:12">
      <c r="A14" s="226" t="s">
        <v>30</v>
      </c>
      <c r="B14" s="224">
        <f>SUM(B15:B16)</f>
        <v>0</v>
      </c>
      <c r="E14">
        <v>12</v>
      </c>
      <c r="F14" s="101" t="s">
        <v>31</v>
      </c>
      <c r="G14" t="s">
        <v>32</v>
      </c>
      <c r="H14" s="61">
        <v>45102</v>
      </c>
    </row>
    <row r="15" spans="1:12">
      <c r="A15" s="223" t="s">
        <v>33</v>
      </c>
      <c r="B15" s="347">
        <v>0</v>
      </c>
      <c r="E15">
        <v>13</v>
      </c>
      <c r="F15" s="101" t="s">
        <v>34</v>
      </c>
      <c r="G15" t="s">
        <v>32</v>
      </c>
      <c r="H15" s="61">
        <v>45102</v>
      </c>
    </row>
    <row r="16" spans="1:12">
      <c r="A16" s="223" t="s">
        <v>35</v>
      </c>
      <c r="B16" s="347">
        <v>0</v>
      </c>
      <c r="E16">
        <v>14</v>
      </c>
      <c r="F16" s="101" t="s">
        <v>36</v>
      </c>
      <c r="G16" t="s">
        <v>32</v>
      </c>
      <c r="H16" s="61">
        <v>45102</v>
      </c>
    </row>
    <row r="17" spans="1:8">
      <c r="A17" s="226" t="s">
        <v>37</v>
      </c>
      <c r="B17" s="224" t="s">
        <v>38</v>
      </c>
      <c r="E17">
        <v>15</v>
      </c>
      <c r="F17" s="101" t="s">
        <v>39</v>
      </c>
      <c r="G17" t="s">
        <v>32</v>
      </c>
      <c r="H17" s="61">
        <v>45102</v>
      </c>
    </row>
    <row r="18" spans="1:8">
      <c r="A18" s="346" t="s">
        <v>40</v>
      </c>
      <c r="B18" s="228">
        <v>0</v>
      </c>
      <c r="E18">
        <v>16</v>
      </c>
      <c r="F18" s="101" t="s">
        <v>41</v>
      </c>
      <c r="G18" t="s">
        <v>32</v>
      </c>
      <c r="H18" s="61">
        <v>45112</v>
      </c>
    </row>
    <row r="19" spans="1:8" ht="30">
      <c r="A19" s="223" t="s">
        <v>42</v>
      </c>
      <c r="B19" s="146" t="s">
        <v>43</v>
      </c>
      <c r="C19" s="469" t="str">
        <f>IF(B19=0,"TBD",B19)</f>
        <v>TBD</v>
      </c>
      <c r="E19">
        <v>17</v>
      </c>
      <c r="F19" s="101" t="s">
        <v>44</v>
      </c>
      <c r="G19" t="s">
        <v>45</v>
      </c>
      <c r="H19" s="61">
        <v>45114</v>
      </c>
    </row>
    <row r="20" spans="1:8">
      <c r="A20" s="223" t="s">
        <v>46</v>
      </c>
      <c r="B20" s="146">
        <v>0</v>
      </c>
      <c r="C20" s="469" t="str">
        <f>IF(B20=0,"TBD",B20)</f>
        <v>TBD</v>
      </c>
      <c r="E20">
        <v>18</v>
      </c>
      <c r="F20" s="101" t="s">
        <v>47</v>
      </c>
      <c r="G20" t="s">
        <v>9</v>
      </c>
      <c r="H20" s="61">
        <v>45117</v>
      </c>
    </row>
    <row r="21" spans="1:8">
      <c r="A21" s="227" t="s">
        <v>48</v>
      </c>
      <c r="B21" s="224" t="s">
        <v>49</v>
      </c>
      <c r="C21" s="468"/>
      <c r="E21">
        <v>19</v>
      </c>
      <c r="F21" t="s">
        <v>50</v>
      </c>
      <c r="G21" t="s">
        <v>32</v>
      </c>
      <c r="H21" s="61">
        <v>45120</v>
      </c>
    </row>
    <row r="22" spans="1:8" ht="30">
      <c r="A22" s="145" t="s">
        <v>51</v>
      </c>
      <c r="B22" s="225">
        <f>Calcs!N176</f>
        <v>0</v>
      </c>
      <c r="C22" s="468"/>
      <c r="E22">
        <v>20</v>
      </c>
      <c r="F22" s="101" t="s">
        <v>52</v>
      </c>
      <c r="G22" t="s">
        <v>32</v>
      </c>
      <c r="H22" s="61">
        <v>45126</v>
      </c>
    </row>
    <row r="23" spans="1:8">
      <c r="A23" s="145"/>
      <c r="B23" s="596" t="s">
        <v>53</v>
      </c>
      <c r="C23" s="468"/>
      <c r="H23" s="61"/>
    </row>
    <row r="24" spans="1:8">
      <c r="A24" s="229" t="s">
        <v>54</v>
      </c>
      <c r="B24" s="146">
        <v>859.14</v>
      </c>
      <c r="C24" s="743">
        <f>IF(B24=0,"TBD",B24)</f>
        <v>859.14</v>
      </c>
      <c r="E24">
        <v>21</v>
      </c>
      <c r="F24" s="101" t="s">
        <v>55</v>
      </c>
      <c r="G24" t="s">
        <v>9</v>
      </c>
      <c r="H24" s="61">
        <v>45134</v>
      </c>
    </row>
    <row r="25" spans="1:8">
      <c r="A25" s="230" t="s">
        <v>56</v>
      </c>
      <c r="B25" s="146">
        <v>294.07</v>
      </c>
      <c r="C25" s="743">
        <f>IF(B25="TBD","TBD",B25)</f>
        <v>294.07</v>
      </c>
      <c r="E25">
        <v>22</v>
      </c>
      <c r="F25" s="101" t="s">
        <v>57</v>
      </c>
      <c r="G25" t="s">
        <v>9</v>
      </c>
      <c r="H25" s="61">
        <v>45134</v>
      </c>
    </row>
    <row r="26" spans="1:8" ht="30">
      <c r="A26" s="230" t="s">
        <v>58</v>
      </c>
      <c r="B26" s="232" t="s">
        <v>49</v>
      </c>
      <c r="E26">
        <v>23</v>
      </c>
      <c r="F26" s="101" t="s">
        <v>59</v>
      </c>
      <c r="G26" t="s">
        <v>9</v>
      </c>
      <c r="H26" s="61">
        <v>45145</v>
      </c>
    </row>
    <row r="27" spans="1:8">
      <c r="A27" s="231" t="s">
        <v>60</v>
      </c>
      <c r="B27" s="233" t="s">
        <v>49</v>
      </c>
      <c r="E27">
        <v>24</v>
      </c>
      <c r="F27" s="101" t="s">
        <v>61</v>
      </c>
      <c r="G27" t="s">
        <v>45</v>
      </c>
      <c r="H27" s="61">
        <v>45161</v>
      </c>
    </row>
    <row r="28" spans="1:8">
      <c r="A28" s="180" t="s">
        <v>62</v>
      </c>
      <c r="B28" s="289"/>
      <c r="E28">
        <v>25</v>
      </c>
      <c r="F28" s="101" t="s">
        <v>63</v>
      </c>
      <c r="G28" t="s">
        <v>45</v>
      </c>
      <c r="H28" s="61">
        <v>45181</v>
      </c>
    </row>
    <row r="29" spans="1:8" ht="21">
      <c r="A29" s="258" t="s">
        <v>64</v>
      </c>
      <c r="B29" s="365" t="s">
        <v>65</v>
      </c>
      <c r="E29">
        <v>26</v>
      </c>
      <c r="F29" s="101" t="s">
        <v>66</v>
      </c>
      <c r="G29" t="s">
        <v>45</v>
      </c>
      <c r="H29" s="61">
        <v>45189</v>
      </c>
    </row>
    <row r="30" spans="1:8">
      <c r="A30" s="256" t="s">
        <v>67</v>
      </c>
      <c r="B30" t="s">
        <v>68</v>
      </c>
      <c r="E30">
        <v>27</v>
      </c>
      <c r="F30" s="101" t="s">
        <v>69</v>
      </c>
      <c r="G30" t="s">
        <v>45</v>
      </c>
      <c r="H30" s="61">
        <v>45195</v>
      </c>
    </row>
    <row r="31" spans="1:8">
      <c r="A31" s="256" t="s">
        <v>70</v>
      </c>
      <c r="B31" t="s">
        <v>71</v>
      </c>
      <c r="C31" s="470"/>
      <c r="E31">
        <v>28</v>
      </c>
      <c r="F31" s="101" t="s">
        <v>72</v>
      </c>
      <c r="G31" t="s">
        <v>9</v>
      </c>
      <c r="H31" s="61">
        <v>45212</v>
      </c>
    </row>
    <row r="32" spans="1:8" ht="30">
      <c r="A32" s="256" t="s">
        <v>73</v>
      </c>
      <c r="B32" t="s">
        <v>74</v>
      </c>
      <c r="C32" s="470"/>
      <c r="E32">
        <v>29</v>
      </c>
      <c r="F32" s="101" t="s">
        <v>75</v>
      </c>
      <c r="G32" t="s">
        <v>9</v>
      </c>
      <c r="H32" s="61">
        <v>45239</v>
      </c>
    </row>
    <row r="33" spans="1:8" ht="30">
      <c r="A33" s="256" t="s">
        <v>76</v>
      </c>
      <c r="B33" s="1" t="s">
        <v>49</v>
      </c>
      <c r="C33" s="471" t="str">
        <f>IF(B33="No",'Adventure Series Proposal (USA)'!H230-'Adventure Series Proposal (USA)'!H231,"")</f>
        <v/>
      </c>
      <c r="E33">
        <v>30</v>
      </c>
      <c r="F33" s="101" t="s">
        <v>77</v>
      </c>
      <c r="G33" t="s">
        <v>9</v>
      </c>
      <c r="H33" s="61">
        <v>45300</v>
      </c>
    </row>
    <row r="34" spans="1:8">
      <c r="A34" s="46" t="s">
        <v>78</v>
      </c>
      <c r="B34" s="291">
        <f>IF(B33="No",VLOOKUP(B6,#REF!,2,FALSE),0)</f>
        <v>0</v>
      </c>
      <c r="C34" s="471" t="str">
        <f>IF(B33="No",(C19+C24+C33)*B34,"")</f>
        <v/>
      </c>
      <c r="E34">
        <v>31</v>
      </c>
      <c r="F34" s="101" t="s">
        <v>79</v>
      </c>
      <c r="G34" t="s">
        <v>32</v>
      </c>
      <c r="H34" s="61">
        <v>45302</v>
      </c>
    </row>
    <row r="35" spans="1:8">
      <c r="A35" s="46" t="s">
        <v>80</v>
      </c>
      <c r="B35" s="123">
        <v>120</v>
      </c>
      <c r="C35" s="53">
        <f t="shared" ref="C35:C37" si="1">B35/12</f>
        <v>10</v>
      </c>
      <c r="E35">
        <v>32</v>
      </c>
      <c r="F35" s="101" t="s">
        <v>81</v>
      </c>
      <c r="G35" t="s">
        <v>9</v>
      </c>
      <c r="H35" s="61">
        <v>45313</v>
      </c>
    </row>
    <row r="36" spans="1:8">
      <c r="A36" s="46" t="s">
        <v>82</v>
      </c>
      <c r="B36" s="123">
        <v>120</v>
      </c>
      <c r="C36" s="53">
        <f t="shared" si="1"/>
        <v>10</v>
      </c>
      <c r="E36">
        <v>33</v>
      </c>
      <c r="F36" s="101" t="s">
        <v>83</v>
      </c>
      <c r="G36" t="s">
        <v>9</v>
      </c>
      <c r="H36" s="61">
        <v>45329</v>
      </c>
    </row>
    <row r="37" spans="1:8">
      <c r="A37" s="46" t="s">
        <v>84</v>
      </c>
      <c r="B37" s="8">
        <v>96</v>
      </c>
      <c r="C37" s="53">
        <f t="shared" si="1"/>
        <v>8</v>
      </c>
      <c r="E37">
        <v>34</v>
      </c>
      <c r="F37" s="101" t="s">
        <v>85</v>
      </c>
      <c r="G37" t="s">
        <v>9</v>
      </c>
      <c r="H37" s="61">
        <v>45362</v>
      </c>
    </row>
    <row r="38" spans="1:8">
      <c r="A38" s="46" t="s">
        <v>86</v>
      </c>
      <c r="B38" s="8">
        <v>4</v>
      </c>
      <c r="E38">
        <v>35</v>
      </c>
      <c r="F38" s="101" t="s">
        <v>87</v>
      </c>
      <c r="G38" t="s">
        <v>9</v>
      </c>
      <c r="H38" s="61">
        <v>45363</v>
      </c>
    </row>
    <row r="39" spans="1:8" ht="30">
      <c r="A39" s="147" t="s">
        <v>88</v>
      </c>
      <c r="B39" s="8">
        <v>4</v>
      </c>
      <c r="C39" s="53" t="s">
        <v>89</v>
      </c>
      <c r="E39">
        <v>36</v>
      </c>
      <c r="F39" s="101" t="s">
        <v>90</v>
      </c>
      <c r="G39" t="s">
        <v>9</v>
      </c>
      <c r="H39" s="61">
        <v>45368</v>
      </c>
    </row>
    <row r="40" spans="1:8" ht="30">
      <c r="A40" s="147" t="s">
        <v>91</v>
      </c>
      <c r="B40" s="8">
        <f>B38-B39</f>
        <v>0</v>
      </c>
      <c r="C40" s="53" t="s">
        <v>92</v>
      </c>
      <c r="E40">
        <v>37</v>
      </c>
      <c r="F40" s="101" t="s">
        <v>93</v>
      </c>
      <c r="G40" t="s">
        <v>9</v>
      </c>
      <c r="H40" s="61">
        <v>45378</v>
      </c>
    </row>
    <row r="41" spans="1:8">
      <c r="A41" s="46" t="s">
        <v>94</v>
      </c>
      <c r="B41" s="8" t="s">
        <v>49</v>
      </c>
      <c r="E41">
        <v>38</v>
      </c>
      <c r="F41" s="101" t="s">
        <v>95</v>
      </c>
      <c r="G41" t="s">
        <v>9</v>
      </c>
      <c r="H41" s="61">
        <v>45443</v>
      </c>
    </row>
    <row r="42" spans="1:8">
      <c r="A42" s="46" t="s">
        <v>96</v>
      </c>
      <c r="B42" s="8">
        <v>12</v>
      </c>
      <c r="C42" s="53" t="s">
        <v>97</v>
      </c>
      <c r="E42">
        <v>39</v>
      </c>
      <c r="F42" s="101" t="s">
        <v>98</v>
      </c>
      <c r="G42" t="s">
        <v>9</v>
      </c>
      <c r="H42" s="61">
        <v>45462</v>
      </c>
    </row>
    <row r="43" spans="1:8">
      <c r="A43" s="46" t="s">
        <v>99</v>
      </c>
      <c r="B43" s="8">
        <v>20</v>
      </c>
      <c r="E43">
        <v>40</v>
      </c>
      <c r="F43" s="101" t="s">
        <v>100</v>
      </c>
      <c r="G43" t="s">
        <v>9</v>
      </c>
      <c r="H43" s="61">
        <v>45502</v>
      </c>
    </row>
    <row r="44" spans="1:8" ht="30">
      <c r="A44" s="46" t="s">
        <v>101</v>
      </c>
      <c r="B44" s="234" t="s">
        <v>102</v>
      </c>
      <c r="C44" s="53" t="s">
        <v>103</v>
      </c>
      <c r="E44">
        <v>41</v>
      </c>
      <c r="F44" s="101" t="s">
        <v>104</v>
      </c>
      <c r="G44" t="s">
        <v>9</v>
      </c>
      <c r="H44" s="61">
        <v>45526</v>
      </c>
    </row>
    <row r="45" spans="1:8">
      <c r="A45" s="46" t="s">
        <v>105</v>
      </c>
      <c r="B45" s="254">
        <v>800</v>
      </c>
      <c r="E45">
        <v>42</v>
      </c>
      <c r="F45" s="101" t="s">
        <v>106</v>
      </c>
      <c r="G45" t="s">
        <v>9</v>
      </c>
      <c r="H45" s="61">
        <v>45527</v>
      </c>
    </row>
    <row r="46" spans="1:8">
      <c r="B46" s="8"/>
      <c r="E46">
        <v>43</v>
      </c>
      <c r="F46" s="101" t="s">
        <v>107</v>
      </c>
      <c r="G46" t="s">
        <v>9</v>
      </c>
      <c r="H46" s="61">
        <v>45534</v>
      </c>
    </row>
    <row r="47" spans="1:8">
      <c r="A47" s="147" t="s">
        <v>108</v>
      </c>
      <c r="B47" s="4" t="s">
        <v>109</v>
      </c>
      <c r="C47" s="53" t="s">
        <v>110</v>
      </c>
      <c r="E47">
        <v>44</v>
      </c>
      <c r="F47" s="101" t="s">
        <v>111</v>
      </c>
      <c r="G47" t="s">
        <v>9</v>
      </c>
      <c r="H47" s="61">
        <v>45597</v>
      </c>
    </row>
    <row r="48" spans="1:8">
      <c r="A48" s="147" t="s">
        <v>112</v>
      </c>
      <c r="B48" s="4" t="s">
        <v>109</v>
      </c>
      <c r="C48" s="53" t="s">
        <v>110</v>
      </c>
      <c r="E48">
        <v>45</v>
      </c>
      <c r="F48" s="101" t="s">
        <v>113</v>
      </c>
      <c r="G48" t="s">
        <v>9</v>
      </c>
      <c r="H48" s="61">
        <v>45639</v>
      </c>
    </row>
    <row r="49" spans="1:8" ht="30">
      <c r="A49" s="147" t="s">
        <v>114</v>
      </c>
      <c r="B49" s="4" t="s">
        <v>109</v>
      </c>
      <c r="C49" s="53" t="s">
        <v>110</v>
      </c>
      <c r="E49">
        <v>46</v>
      </c>
      <c r="F49" s="101" t="s">
        <v>115</v>
      </c>
      <c r="G49" t="s">
        <v>32</v>
      </c>
      <c r="H49" s="61">
        <v>45646</v>
      </c>
    </row>
    <row r="50" spans="1:8">
      <c r="A50" s="147" t="s">
        <v>116</v>
      </c>
      <c r="B50" s="4" t="s">
        <v>109</v>
      </c>
      <c r="C50" s="53" t="s">
        <v>110</v>
      </c>
      <c r="E50">
        <v>47</v>
      </c>
      <c r="F50" s="101" t="s">
        <v>117</v>
      </c>
      <c r="G50" t="s">
        <v>32</v>
      </c>
      <c r="H50" s="61">
        <v>45664</v>
      </c>
    </row>
    <row r="51" spans="1:8">
      <c r="A51" s="147" t="s">
        <v>118</v>
      </c>
      <c r="B51" s="4" t="s">
        <v>109</v>
      </c>
      <c r="C51" s="53" t="s">
        <v>110</v>
      </c>
      <c r="E51">
        <v>48</v>
      </c>
      <c r="F51" s="101" t="s">
        <v>119</v>
      </c>
      <c r="G51" t="s">
        <v>32</v>
      </c>
      <c r="H51" s="61">
        <v>45664</v>
      </c>
    </row>
    <row r="52" spans="1:8" ht="45">
      <c r="B52" s="4"/>
      <c r="E52">
        <v>49</v>
      </c>
      <c r="F52" s="101" t="s">
        <v>120</v>
      </c>
      <c r="G52" t="s">
        <v>32</v>
      </c>
      <c r="H52" s="61">
        <v>45664</v>
      </c>
    </row>
    <row r="53" spans="1:8" ht="75">
      <c r="A53" s="46" t="s">
        <v>121</v>
      </c>
      <c r="B53" s="52">
        <f ca="1">TODAY()</f>
        <v>46225</v>
      </c>
      <c r="E53">
        <v>50</v>
      </c>
      <c r="F53" s="101" t="s">
        <v>122</v>
      </c>
      <c r="G53" t="s">
        <v>32</v>
      </c>
      <c r="H53" s="61">
        <v>45670</v>
      </c>
    </row>
    <row r="54" spans="1:8" s="46" customFormat="1">
      <c r="A54" s="46" t="s">
        <v>123</v>
      </c>
      <c r="B54" s="11" t="str" cm="1">
        <f t="array" aca="1" ref="B54" ca="1">_xlfn.LET(
  _xlpm.d, B53,
  _xlpm.initials, UPPER(LEFT(B2,1) &amp; RIGHT(B2,1)),
  _xlpm.n, COUNTIFS($B$2:B2, C2, $A$2:A2, A2),
  "PR-" &amp; _xlpm.initials &amp; "-" &amp; TEXT(_xlpm.d, "yymmdd") &amp; "-" &amp; TEXT(_xlpm.n, "000")
)</f>
        <v>PR-TO-260722-000</v>
      </c>
      <c r="C54" s="53"/>
      <c r="E54">
        <v>51</v>
      </c>
      <c r="F54" s="101" t="s">
        <v>124</v>
      </c>
      <c r="G54" t="s">
        <v>32</v>
      </c>
      <c r="H54" s="61">
        <v>45698</v>
      </c>
    </row>
    <row r="55" spans="1:8">
      <c r="A55" s="46" t="s">
        <v>125</v>
      </c>
      <c r="B55" s="11">
        <f ca="1">RANDBETWEEN(1000,24676)*3</f>
        <v>8283</v>
      </c>
      <c r="E55">
        <v>52</v>
      </c>
      <c r="F55" s="101" t="s">
        <v>126</v>
      </c>
      <c r="G55" t="s">
        <v>32</v>
      </c>
      <c r="H55" s="61">
        <v>45699</v>
      </c>
    </row>
    <row r="56" spans="1:8">
      <c r="B56" s="4"/>
      <c r="C56" s="472"/>
      <c r="E56">
        <v>53</v>
      </c>
      <c r="F56" s="101" t="s">
        <v>127</v>
      </c>
      <c r="G56" t="s">
        <v>32</v>
      </c>
      <c r="H56" s="61">
        <v>45699</v>
      </c>
    </row>
    <row r="57" spans="1:8" ht="15" customHeight="1">
      <c r="E57">
        <v>54</v>
      </c>
      <c r="F57" s="101" t="s">
        <v>128</v>
      </c>
      <c r="G57" t="s">
        <v>9</v>
      </c>
      <c r="H57" s="61"/>
    </row>
    <row r="58" spans="1:8" ht="15" customHeight="1">
      <c r="E58">
        <v>55</v>
      </c>
      <c r="F58" s="101" t="s">
        <v>129</v>
      </c>
      <c r="G58" t="s">
        <v>32</v>
      </c>
      <c r="H58" s="61">
        <v>45713</v>
      </c>
    </row>
    <row r="59" spans="1:8" ht="15" customHeight="1">
      <c r="E59">
        <v>56</v>
      </c>
      <c r="F59" s="101" t="s">
        <v>130</v>
      </c>
      <c r="G59" t="s">
        <v>32</v>
      </c>
      <c r="H59" s="61">
        <v>45730</v>
      </c>
    </row>
    <row r="60" spans="1:8" ht="15" customHeight="1">
      <c r="E60">
        <v>57</v>
      </c>
      <c r="F60" s="101" t="s">
        <v>131</v>
      </c>
      <c r="G60" t="s">
        <v>32</v>
      </c>
      <c r="H60" s="61">
        <v>45733</v>
      </c>
    </row>
    <row r="61" spans="1:8" ht="32.25" customHeight="1">
      <c r="E61">
        <v>58</v>
      </c>
      <c r="F61" s="101" t="s">
        <v>132</v>
      </c>
      <c r="G61" t="s">
        <v>9</v>
      </c>
      <c r="H61" s="61">
        <v>45735</v>
      </c>
    </row>
    <row r="62" spans="1:8" ht="30">
      <c r="E62">
        <v>59</v>
      </c>
      <c r="F62" s="101" t="s">
        <v>133</v>
      </c>
      <c r="G62" t="s">
        <v>32</v>
      </c>
      <c r="H62" s="61">
        <v>45741</v>
      </c>
    </row>
    <row r="63" spans="1:8" ht="30">
      <c r="E63">
        <v>60</v>
      </c>
      <c r="F63" s="101" t="s">
        <v>134</v>
      </c>
      <c r="G63" t="s">
        <v>32</v>
      </c>
      <c r="H63" s="61">
        <v>45741</v>
      </c>
    </row>
    <row r="64" spans="1:8" ht="15" customHeight="1">
      <c r="E64">
        <v>61</v>
      </c>
      <c r="F64" s="101" t="s">
        <v>135</v>
      </c>
      <c r="G64" t="s">
        <v>9</v>
      </c>
      <c r="H64" s="61">
        <v>45743</v>
      </c>
    </row>
    <row r="65" spans="5:8" ht="15" customHeight="1">
      <c r="E65">
        <v>62</v>
      </c>
      <c r="F65" s="101" t="s">
        <v>136</v>
      </c>
      <c r="G65" t="s">
        <v>9</v>
      </c>
      <c r="H65" s="61">
        <v>45743</v>
      </c>
    </row>
    <row r="66" spans="5:8" ht="15" customHeight="1">
      <c r="E66">
        <v>63</v>
      </c>
      <c r="F66" s="101" t="s">
        <v>137</v>
      </c>
      <c r="G66" t="s">
        <v>9</v>
      </c>
      <c r="H66" s="61">
        <v>45750</v>
      </c>
    </row>
    <row r="67" spans="5:8" ht="15" customHeight="1">
      <c r="E67">
        <v>64</v>
      </c>
      <c r="F67" s="101" t="s">
        <v>138</v>
      </c>
      <c r="G67" t="s">
        <v>9</v>
      </c>
      <c r="H67" s="61">
        <v>45756</v>
      </c>
    </row>
    <row r="68" spans="5:8" ht="15" customHeight="1">
      <c r="E68">
        <v>65</v>
      </c>
      <c r="F68" s="101" t="s">
        <v>139</v>
      </c>
      <c r="G68" t="s">
        <v>32</v>
      </c>
      <c r="H68" s="61">
        <v>45766</v>
      </c>
    </row>
    <row r="69" spans="5:8" ht="30">
      <c r="E69">
        <v>66</v>
      </c>
      <c r="F69" s="101" t="s">
        <v>140</v>
      </c>
      <c r="G69" t="s">
        <v>9</v>
      </c>
      <c r="H69" s="61">
        <v>45771</v>
      </c>
    </row>
    <row r="70" spans="5:8" ht="30">
      <c r="E70">
        <v>67</v>
      </c>
      <c r="F70" s="101" t="s">
        <v>141</v>
      </c>
      <c r="G70" t="s">
        <v>32</v>
      </c>
      <c r="H70" s="61">
        <v>45800</v>
      </c>
    </row>
    <row r="71" spans="5:8" ht="30">
      <c r="E71">
        <v>68</v>
      </c>
      <c r="F71" s="101" t="s">
        <v>142</v>
      </c>
      <c r="G71" t="s">
        <v>32</v>
      </c>
      <c r="H71" s="61">
        <v>45805</v>
      </c>
    </row>
    <row r="72" spans="5:8" ht="30">
      <c r="E72">
        <v>69</v>
      </c>
      <c r="F72" s="101" t="s">
        <v>143</v>
      </c>
      <c r="G72" t="s">
        <v>32</v>
      </c>
      <c r="H72" s="61">
        <v>45828</v>
      </c>
    </row>
    <row r="73" spans="5:8" ht="15" customHeight="1">
      <c r="E73">
        <v>70</v>
      </c>
      <c r="F73" s="101" t="s">
        <v>144</v>
      </c>
      <c r="G73" t="s">
        <v>9</v>
      </c>
      <c r="H73" s="61">
        <v>45838</v>
      </c>
    </row>
    <row r="74" spans="5:8" ht="15" customHeight="1">
      <c r="E74">
        <v>71</v>
      </c>
      <c r="F74" s="101" t="s">
        <v>145</v>
      </c>
      <c r="G74" t="s">
        <v>32</v>
      </c>
      <c r="H74" s="61">
        <v>45838</v>
      </c>
    </row>
    <row r="75" spans="5:8" ht="15" customHeight="1">
      <c r="E75">
        <v>72</v>
      </c>
      <c r="F75" s="101" t="s">
        <v>146</v>
      </c>
      <c r="G75" t="s">
        <v>9</v>
      </c>
      <c r="H75" s="61">
        <v>45840</v>
      </c>
    </row>
    <row r="76" spans="5:8" ht="15" customHeight="1">
      <c r="E76">
        <v>73</v>
      </c>
      <c r="F76" s="101" t="s">
        <v>147</v>
      </c>
      <c r="G76" t="s">
        <v>9</v>
      </c>
      <c r="H76" s="61">
        <v>45896</v>
      </c>
    </row>
    <row r="77" spans="5:8" ht="15" customHeight="1">
      <c r="E77">
        <v>74</v>
      </c>
      <c r="F77" s="101" t="s">
        <v>148</v>
      </c>
      <c r="G77" t="s">
        <v>9</v>
      </c>
      <c r="H77" s="61">
        <v>45960</v>
      </c>
    </row>
    <row r="78" spans="5:8" ht="15" customHeight="1">
      <c r="E78">
        <v>75</v>
      </c>
      <c r="F78" s="101" t="s">
        <v>149</v>
      </c>
      <c r="G78" t="s">
        <v>9</v>
      </c>
      <c r="H78" s="61">
        <v>45967</v>
      </c>
    </row>
    <row r="79" spans="5:8" ht="15" customHeight="1">
      <c r="E79">
        <v>76</v>
      </c>
      <c r="F79" s="101" t="s">
        <v>150</v>
      </c>
      <c r="G79" t="s">
        <v>9</v>
      </c>
      <c r="H79" s="61">
        <v>45972</v>
      </c>
    </row>
    <row r="80" spans="5:8" ht="15" customHeight="1">
      <c r="E80">
        <v>77</v>
      </c>
      <c r="F80" s="101" t="s">
        <v>151</v>
      </c>
      <c r="G80" t="s">
        <v>9</v>
      </c>
      <c r="H80" s="61">
        <v>46002</v>
      </c>
    </row>
    <row r="81" spans="5:8" ht="15" customHeight="1">
      <c r="E81">
        <v>78</v>
      </c>
      <c r="F81" s="101" t="s">
        <v>152</v>
      </c>
      <c r="G81" t="s">
        <v>9</v>
      </c>
      <c r="H81" s="61">
        <v>46042</v>
      </c>
    </row>
    <row r="82" spans="5:8" ht="15" customHeight="1">
      <c r="E82">
        <v>79</v>
      </c>
      <c r="F82" s="101" t="s">
        <v>153</v>
      </c>
      <c r="G82" t="s">
        <v>9</v>
      </c>
      <c r="H82" s="61">
        <v>46043</v>
      </c>
    </row>
    <row r="83" spans="5:8" ht="15" customHeight="1">
      <c r="E83">
        <v>80</v>
      </c>
      <c r="F83" s="101" t="s">
        <v>154</v>
      </c>
      <c r="G83" t="s">
        <v>9</v>
      </c>
      <c r="H83" s="61">
        <v>46058</v>
      </c>
    </row>
    <row r="84" spans="5:8" ht="15" customHeight="1">
      <c r="E84">
        <v>81</v>
      </c>
      <c r="F84" s="101" t="s">
        <v>155</v>
      </c>
      <c r="G84" t="s">
        <v>9</v>
      </c>
      <c r="H84" s="61">
        <v>46069</v>
      </c>
    </row>
    <row r="85" spans="5:8" ht="15" customHeight="1">
      <c r="E85">
        <v>82</v>
      </c>
      <c r="F85" s="101" t="s">
        <v>156</v>
      </c>
      <c r="G85" t="s">
        <v>9</v>
      </c>
      <c r="H85" s="61">
        <v>46127</v>
      </c>
    </row>
    <row r="86" spans="5:8" ht="15" customHeight="1">
      <c r="E86">
        <v>83</v>
      </c>
      <c r="F86" s="101" t="s">
        <v>157</v>
      </c>
      <c r="G86" t="s">
        <v>9</v>
      </c>
      <c r="H86" s="61">
        <v>46143</v>
      </c>
    </row>
    <row r="87" spans="5:8" ht="15" customHeight="1">
      <c r="E87">
        <v>84</v>
      </c>
      <c r="F87" s="101" t="s">
        <v>158</v>
      </c>
      <c r="G87" t="s">
        <v>9</v>
      </c>
      <c r="H87" s="61">
        <v>46143</v>
      </c>
    </row>
    <row r="88" spans="5:8" ht="15" customHeight="1">
      <c r="E88">
        <v>85</v>
      </c>
      <c r="F88" s="101" t="s">
        <v>159</v>
      </c>
      <c r="G88" t="s">
        <v>9</v>
      </c>
      <c r="H88" s="61">
        <v>46147</v>
      </c>
    </row>
    <row r="89" spans="5:8" ht="15" customHeight="1">
      <c r="E89">
        <v>86</v>
      </c>
      <c r="F89" s="101" t="s">
        <v>160</v>
      </c>
      <c r="G89" t="s">
        <v>9</v>
      </c>
      <c r="H89" s="61">
        <v>46147</v>
      </c>
    </row>
    <row r="90" spans="5:8" ht="15" customHeight="1">
      <c r="E90">
        <v>87</v>
      </c>
      <c r="F90" s="101" t="s">
        <v>161</v>
      </c>
      <c r="G90" t="s">
        <v>9</v>
      </c>
      <c r="H90" s="61">
        <v>46182</v>
      </c>
    </row>
    <row r="91" spans="5:8" ht="15" customHeight="1">
      <c r="E91">
        <v>88</v>
      </c>
      <c r="F91" s="101" t="s">
        <v>162</v>
      </c>
      <c r="G91" t="s">
        <v>9</v>
      </c>
      <c r="H91" s="61">
        <v>46189</v>
      </c>
    </row>
    <row r="92" spans="5:8" ht="15" customHeight="1">
      <c r="E92">
        <v>89</v>
      </c>
      <c r="F92" s="101" t="s">
        <v>163</v>
      </c>
      <c r="G92" t="s">
        <v>9</v>
      </c>
      <c r="H92" s="61">
        <v>46216</v>
      </c>
    </row>
    <row r="93" spans="5:8" ht="15" customHeight="1">
      <c r="E93">
        <v>90</v>
      </c>
      <c r="F93" s="101" t="s">
        <v>164</v>
      </c>
      <c r="G93" t="s">
        <v>9</v>
      </c>
      <c r="H93" s="61">
        <v>46216</v>
      </c>
    </row>
    <row r="94" spans="5:8" ht="15" customHeight="1">
      <c r="E94">
        <v>91</v>
      </c>
      <c r="F94" s="101" t="s">
        <v>165</v>
      </c>
      <c r="G94" t="s">
        <v>9</v>
      </c>
      <c r="H94" s="61">
        <v>46218</v>
      </c>
    </row>
    <row r="99"/>
    <row r="100"/>
    <row r="101"/>
    <row r="102"/>
    <row r="103"/>
  </sheetData>
  <sortState xmlns:xlrd2="http://schemas.microsoft.com/office/spreadsheetml/2017/richdata2" ref="E3:H63">
    <sortCondition ref="E3:E63"/>
  </sortState>
  <mergeCells count="2">
    <mergeCell ref="E1:H1"/>
    <mergeCell ref="A1:B1"/>
  </mergeCells>
  <phoneticPr fontId="10" type="noConversion"/>
  <conditionalFormatting sqref="B45">
    <cfRule type="expression" dxfId="96" priority="1">
      <formula>$B$44="Prismatic-Other"</formula>
    </cfRule>
  </conditionalFormatting>
  <dataValidations count="9">
    <dataValidation type="list" allowBlank="1" showInputMessage="1" showErrorMessage="1" sqref="B30" xr:uid="{1E5F533C-FD2C-4007-A1A4-5D7099CF918C}">
      <formula1>Gym_Type</formula1>
    </dataValidation>
    <dataValidation type="list" allowBlank="1" showInputMessage="1" showErrorMessage="1" sqref="B31" xr:uid="{8DB847FC-75F0-43F9-95D9-D5FB1558C83B}">
      <formula1>Gym_Shape</formula1>
    </dataValidation>
    <dataValidation type="list" allowBlank="1" showInputMessage="1" showErrorMessage="1" sqref="B32" xr:uid="{21BB23B7-D018-4CF7-9E70-2DB57F384CEF}">
      <formula1>Gym_Package</formula1>
    </dataValidation>
    <dataValidation type="list" allowBlank="1" showInputMessage="1" showErrorMessage="1" sqref="B41 B33" xr:uid="{A286F89F-358B-4B41-86BD-2770B5C469B6}">
      <formula1>Shields</formula1>
    </dataValidation>
    <dataValidation type="list" allowBlank="1" showInputMessage="1" showErrorMessage="1" sqref="B29" xr:uid="{55E4F143-A860-4903-AD43-07FEA9C50A95}">
      <formula1>"Summit Adventure Series,Summit Flex,Summit Soar"</formula1>
    </dataValidation>
    <dataValidation type="list" allowBlank="1" showInputMessage="1" showErrorMessage="1" sqref="B21 B17 B26:B27" xr:uid="{31B26778-F9EE-47BF-9484-27F134E236EE}">
      <formula1>"Yes,No,TBD"</formula1>
    </dataValidation>
    <dataValidation allowBlank="1" showInputMessage="1" showErrorMessage="1" sqref="B22:B23 B34 A45:XFD46" xr:uid="{03706A09-814E-464C-9EAA-E0E03AC004A5}"/>
    <dataValidation type="list" allowBlank="1" showInputMessage="1" showErrorMessage="1" sqref="B10" xr:uid="{A8FDE03A-5A03-4865-A335-BD78914DED89}">
      <formula1>"United States, Canada, Mexico"</formula1>
    </dataValidation>
    <dataValidation showInputMessage="1" showErrorMessage="1" sqref="A14:B14" xr:uid="{E1ADAEAB-6469-4B83-A03E-FD3A83226C8D}"/>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17436EB-3929-4DB1-A987-2259A1EBE5EB}">
          <x14:formula1>
            <xm:f>lists!$F$2:$F$4</xm:f>
          </x14:formula1>
          <xm:sqref>B44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807F-2016-4E0E-AE04-9D4E14C7BA0D}">
  <sheetPr codeName="Sheet19">
    <tabColor rgb="FFFF0000"/>
  </sheetPr>
  <dimension ref="A1:AB110"/>
  <sheetViews>
    <sheetView topLeftCell="A16" workbookViewId="0">
      <selection activeCell="I49" sqref="I49"/>
    </sheetView>
  </sheetViews>
  <sheetFormatPr defaultRowHeight="15" customHeight="1"/>
  <cols>
    <col min="1" max="1" width="28.7109375" customWidth="1"/>
    <col min="2" max="2" width="12" customWidth="1"/>
    <col min="3" max="3" width="18.42578125" bestFit="1" customWidth="1"/>
    <col min="4" max="4" width="37.5703125" bestFit="1" customWidth="1"/>
    <col min="5" max="5" width="13.42578125" bestFit="1" customWidth="1"/>
    <col min="6" max="6" width="18.7109375" bestFit="1" customWidth="1"/>
    <col min="7" max="7" width="10.85546875" customWidth="1"/>
    <col min="8" max="8" width="11.7109375" bestFit="1" customWidth="1"/>
    <col min="9" max="9" width="48.5703125" bestFit="1" customWidth="1"/>
    <col min="10" max="10" width="12.5703125" bestFit="1" customWidth="1"/>
    <col min="11" max="11" width="7" bestFit="1" customWidth="1"/>
    <col min="12" max="12" width="3.7109375" bestFit="1" customWidth="1"/>
    <col min="13" max="13" width="8" bestFit="1" customWidth="1"/>
    <col min="14" max="14" width="9.7109375" bestFit="1" customWidth="1"/>
    <col min="15" max="15" width="13.5703125" bestFit="1" customWidth="1"/>
    <col min="16" max="16" width="8.28515625" bestFit="1" customWidth="1"/>
    <col min="18" max="18" width="7" bestFit="1" customWidth="1"/>
    <col min="20" max="28" width="9.140625" style="141"/>
  </cols>
  <sheetData>
    <row r="1" spans="1:18" ht="15.75">
      <c r="A1" s="845" t="s">
        <v>166</v>
      </c>
      <c r="B1" s="846"/>
      <c r="D1" t="str">
        <f>F3&amp;F12&amp;F4&amp;F5&amp;F7&amp;F8&amp;F17&amp;F18</f>
        <v>SQ-2MBL2T</v>
      </c>
      <c r="F1" s="341" t="str">
        <f>D1&amp;"-"&amp;F9&amp;"x"&amp;F10</f>
        <v>SQ-2MBL2T-10x10</v>
      </c>
      <c r="J1" s="806" t="s">
        <v>167</v>
      </c>
      <c r="K1" s="806"/>
      <c r="L1" s="806"/>
      <c r="M1" s="848" t="s">
        <v>168</v>
      </c>
      <c r="N1" s="847" t="s">
        <v>169</v>
      </c>
      <c r="O1" s="848" t="s">
        <v>170</v>
      </c>
      <c r="P1" s="848" t="s">
        <v>171</v>
      </c>
      <c r="R1" s="806" t="s">
        <v>172</v>
      </c>
    </row>
    <row r="2" spans="1:18">
      <c r="A2" s="521" t="s">
        <v>173</v>
      </c>
      <c r="B2" s="528">
        <v>120</v>
      </c>
      <c r="H2" s="122" t="s">
        <v>174</v>
      </c>
      <c r="I2" s="122" t="s">
        <v>175</v>
      </c>
      <c r="J2" s="130">
        <v>4</v>
      </c>
      <c r="K2" s="130">
        <v>7</v>
      </c>
      <c r="L2" s="130">
        <v>10</v>
      </c>
      <c r="M2" s="806"/>
      <c r="N2" s="806"/>
      <c r="O2" s="806"/>
      <c r="P2" s="806"/>
      <c r="R2" s="806"/>
    </row>
    <row r="3" spans="1:18">
      <c r="A3" s="521" t="s">
        <v>176</v>
      </c>
      <c r="B3" s="528">
        <v>120</v>
      </c>
      <c r="D3" s="46" t="s">
        <v>177</v>
      </c>
      <c r="E3" s="168" t="s">
        <v>1221</v>
      </c>
      <c r="F3" t="str" cm="1">
        <f t="array" ref="F3">_xlfn.IFS(E3="-","",E3="Square","SQ-",E3="rectangle","R-",E3="L Shape","L-",E3="T Shape","T-")</f>
        <v>SQ-</v>
      </c>
      <c r="H3" t="s">
        <v>178</v>
      </c>
      <c r="I3" t="str">
        <f>VLOOKUP(H3,Calcs!C:D,2,FALSE)</f>
        <v>Vertical Tall &lt;80 w/Gusset</v>
      </c>
      <c r="J3" s="121">
        <f>IF(E6=4,4,0)</f>
        <v>4</v>
      </c>
      <c r="K3" s="121">
        <f>IF(E6=6,6,0)</f>
        <v>0</v>
      </c>
      <c r="L3" s="121">
        <f>IF(E6=8,8,0)</f>
        <v>0</v>
      </c>
      <c r="M3" s="121"/>
      <c r="N3" s="121"/>
      <c r="O3" s="121"/>
      <c r="P3" s="121">
        <f>E7*-1</f>
        <v>-2</v>
      </c>
      <c r="Q3" s="121"/>
      <c r="R3" s="121">
        <f>SUM(J3:N3)+SUM(O3:P3)</f>
        <v>2</v>
      </c>
    </row>
    <row r="4" spans="1:18">
      <c r="A4" s="521" t="s">
        <v>179</v>
      </c>
      <c r="B4" s="522">
        <f>(B2/12)*(B3/12)</f>
        <v>100</v>
      </c>
      <c r="D4" s="46" t="s">
        <v>180</v>
      </c>
      <c r="E4" s="168" t="s">
        <v>49</v>
      </c>
      <c r="F4" t="str">
        <f>IF(E4="Yes","MB","")</f>
        <v>MB</v>
      </c>
      <c r="H4" t="s">
        <v>181</v>
      </c>
      <c r="I4" t="str">
        <f>VLOOKUP(H4,Calcs!C:D,2,FALSE)</f>
        <v>Vertical Tall &lt;80 w/Gussets, Rungs &amp; Handles</v>
      </c>
      <c r="J4" s="121"/>
      <c r="K4" s="121"/>
      <c r="L4" s="121"/>
      <c r="M4" s="121"/>
      <c r="N4" s="121"/>
      <c r="O4" s="121"/>
      <c r="P4" s="121">
        <f>E7</f>
        <v>2</v>
      </c>
      <c r="Q4" s="121"/>
      <c r="R4" s="121">
        <f t="shared" ref="R4:R29" si="0">SUM(J4:N4)+SUM(O4:P4)</f>
        <v>2</v>
      </c>
    </row>
    <row r="5" spans="1:18">
      <c r="A5" s="521" t="s">
        <v>182</v>
      </c>
      <c r="B5" s="522">
        <f>B4/4</f>
        <v>25</v>
      </c>
      <c r="D5" s="223" t="s">
        <v>183</v>
      </c>
      <c r="E5" s="168">
        <v>1</v>
      </c>
      <c r="F5" t="str">
        <f>IF(E5=2,2,"")</f>
        <v/>
      </c>
      <c r="H5" t="s">
        <v>184</v>
      </c>
      <c r="I5" t="str">
        <f>VLOOKUP(H5,Calcs!C:D,2,FALSE)</f>
        <v>Corner Post &lt;80 1-Way Weld Assembly</v>
      </c>
      <c r="J5" s="121"/>
      <c r="K5" s="121"/>
      <c r="L5" s="121"/>
      <c r="M5" s="121"/>
      <c r="N5" s="121"/>
      <c r="O5" s="121"/>
      <c r="P5" s="121"/>
      <c r="Q5" s="121"/>
      <c r="R5" s="121">
        <f t="shared" si="0"/>
        <v>0</v>
      </c>
    </row>
    <row r="6" spans="1:18">
      <c r="A6" s="145" t="s">
        <v>185</v>
      </c>
      <c r="B6" s="523">
        <f>B5*1.1</f>
        <v>27.500000000000004</v>
      </c>
      <c r="D6" s="46" t="s">
        <v>186</v>
      </c>
      <c r="E6" s="168">
        <v>4</v>
      </c>
      <c r="G6" s="315"/>
      <c r="H6" t="s">
        <v>187</v>
      </c>
      <c r="I6" t="str">
        <f>VLOOKUP(H6,Calcs!C:D,2,FALSE)</f>
        <v>Corner Post &lt;80 2-Way Weld Assembly</v>
      </c>
      <c r="J6" s="121">
        <f>IF(E6&gt;0.01,4,0)</f>
        <v>4</v>
      </c>
      <c r="K6" s="121"/>
      <c r="L6" s="121"/>
      <c r="M6" s="121">
        <f>IF(E3="L Shape",1,0)</f>
        <v>0</v>
      </c>
      <c r="N6" s="121"/>
      <c r="O6" s="121"/>
      <c r="P6" s="121"/>
      <c r="Q6" s="121"/>
      <c r="R6" s="121">
        <f>SUM(J6:N6)+SUM(O6:P6)</f>
        <v>4</v>
      </c>
    </row>
    <row r="7" spans="1:18">
      <c r="A7" s="145" t="s">
        <v>188</v>
      </c>
      <c r="B7" s="523">
        <f>B5*1.15</f>
        <v>28.749999999999996</v>
      </c>
      <c r="D7" s="46" t="s">
        <v>189</v>
      </c>
      <c r="E7" s="168">
        <v>2</v>
      </c>
      <c r="F7" t="str" cm="1">
        <f t="array" ref="F7">_xlfn.IFS(E7=4,"L4",E7=0,"",E7=2,"L2",E7=1,"L1",E7=3,"L3")</f>
        <v>L2</v>
      </c>
      <c r="G7" s="315"/>
      <c r="H7" t="s">
        <v>190</v>
      </c>
      <c r="I7" t="str">
        <f>VLOOKUP(H7,Calcs!C:D,2,FALSE)</f>
        <v>Corner Post &lt;80 3-Way Weld Assembly</v>
      </c>
      <c r="J7" s="121"/>
      <c r="K7" s="121">
        <f>IF(E6=6,2,0)</f>
        <v>0</v>
      </c>
      <c r="L7" s="121">
        <f>IF(E6=8,4,0)</f>
        <v>0</v>
      </c>
      <c r="M7" s="121">
        <f>IF(E3="L Shape",-2,0)</f>
        <v>0</v>
      </c>
      <c r="N7" s="121"/>
      <c r="O7" s="121"/>
      <c r="P7" s="121"/>
      <c r="Q7" s="121"/>
      <c r="R7" s="121">
        <f>SUM(J7:N7)+SUM(O7:P7)</f>
        <v>0</v>
      </c>
    </row>
    <row r="8" spans="1:18">
      <c r="A8" s="521"/>
      <c r="B8" s="522"/>
      <c r="D8" s="46" t="s">
        <v>191</v>
      </c>
      <c r="E8" s="168" t="s">
        <v>49</v>
      </c>
      <c r="F8" t="str">
        <f>IF(E8="no","","T")</f>
        <v>T</v>
      </c>
      <c r="G8" s="315"/>
      <c r="H8" t="s">
        <v>192</v>
      </c>
      <c r="I8" t="str">
        <f>VLOOKUP(H8,Calcs!C:D,2,FALSE)</f>
        <v>Corner Post &lt;80 4-Way Weld Assembly</v>
      </c>
      <c r="J8" s="121"/>
      <c r="K8" s="121"/>
      <c r="L8" s="121"/>
      <c r="M8" s="121">
        <f>IF(E3="L Shape",1,0)</f>
        <v>0</v>
      </c>
      <c r="N8" s="121"/>
      <c r="O8" s="121"/>
      <c r="P8" s="121"/>
      <c r="Q8" s="121"/>
      <c r="R8" s="121">
        <f>SUM(J8:N8)+SUM(O8:P8)</f>
        <v>0</v>
      </c>
    </row>
    <row r="9" spans="1:18">
      <c r="A9" s="521" t="s">
        <v>179</v>
      </c>
      <c r="B9" s="528">
        <v>895</v>
      </c>
      <c r="D9" s="46" t="s">
        <v>193</v>
      </c>
      <c r="E9" s="168">
        <v>10</v>
      </c>
      <c r="F9">
        <f>Discovery!B35/12</f>
        <v>10</v>
      </c>
      <c r="H9" t="s">
        <v>194</v>
      </c>
      <c r="I9" t="str">
        <f>VLOOKUP(H9,Calcs!C:D,2,FALSE)</f>
        <v>Mid Span 1-Way Saddle Alt Weld Assembly</v>
      </c>
      <c r="J9" s="121"/>
      <c r="K9" s="121"/>
      <c r="L9" s="121"/>
      <c r="M9" s="121"/>
      <c r="N9" s="121">
        <f>E12*2</f>
        <v>2</v>
      </c>
      <c r="O9" s="121">
        <f>IF(E4="Yes",2,0)</f>
        <v>2</v>
      </c>
      <c r="P9" s="121"/>
      <c r="Q9" s="121"/>
      <c r="R9" s="121">
        <f t="shared" si="0"/>
        <v>4</v>
      </c>
    </row>
    <row r="10" spans="1:18">
      <c r="A10" s="521" t="s">
        <v>182</v>
      </c>
      <c r="B10" s="522">
        <f>B9/4</f>
        <v>223.75</v>
      </c>
      <c r="D10" s="46" t="s">
        <v>195</v>
      </c>
      <c r="E10" s="360">
        <f>F10</f>
        <v>10</v>
      </c>
      <c r="F10">
        <f>Discovery!B36/12</f>
        <v>10</v>
      </c>
      <c r="H10" t="s">
        <v>196</v>
      </c>
      <c r="I10" t="str">
        <f>VLOOKUP(H10,Calcs!C:D,2,FALSE)</f>
        <v>Ladder Leg Footless</v>
      </c>
      <c r="J10" s="121"/>
      <c r="K10" s="121"/>
      <c r="L10" s="121"/>
      <c r="M10" s="121"/>
      <c r="N10" s="121"/>
      <c r="O10" s="121"/>
      <c r="P10" s="121">
        <f>E7</f>
        <v>2</v>
      </c>
      <c r="Q10" s="121"/>
      <c r="R10" s="121">
        <f t="shared" si="0"/>
        <v>2</v>
      </c>
    </row>
    <row r="11" spans="1:18">
      <c r="A11" s="145" t="s">
        <v>185</v>
      </c>
      <c r="B11" s="523">
        <f>B10*1.1</f>
        <v>246.12500000000003</v>
      </c>
      <c r="D11" s="46" t="s">
        <v>197</v>
      </c>
      <c r="E11" s="1">
        <f>Discovery!C37</f>
        <v>8</v>
      </c>
      <c r="F11">
        <f>Discovery!B37/12</f>
        <v>8</v>
      </c>
      <c r="H11" t="s">
        <v>198</v>
      </c>
      <c r="I11" t="str">
        <f>VLOOKUP(H11,Calcs!C:D,2,FALSE)</f>
        <v>Single Leg Inner Ladder Sleeve Footless Weld Assembly</v>
      </c>
      <c r="J11" s="121"/>
      <c r="K11" s="121"/>
      <c r="L11" s="121"/>
      <c r="M11" s="121"/>
      <c r="N11" s="121"/>
      <c r="O11" s="121"/>
      <c r="P11" s="121">
        <f>E7*1</f>
        <v>2</v>
      </c>
      <c r="Q11" s="121"/>
      <c r="R11" s="121">
        <f t="shared" si="0"/>
        <v>2</v>
      </c>
    </row>
    <row r="12" spans="1:18">
      <c r="A12" s="524" t="s">
        <v>188</v>
      </c>
      <c r="B12" s="525">
        <f>B10*1.15</f>
        <v>257.3125</v>
      </c>
      <c r="D12" s="46" t="s">
        <v>199</v>
      </c>
      <c r="E12" s="168">
        <v>1</v>
      </c>
      <c r="F12">
        <f>IF(E4="Yes",E12+1,E12)</f>
        <v>2</v>
      </c>
      <c r="H12" t="s">
        <v>200</v>
      </c>
      <c r="I12" t="str">
        <f>VLOOKUP(H12,Calcs!C:D,2,FALSE)</f>
        <v>Double Leg Inner Ladder Sleeve</v>
      </c>
      <c r="J12" s="121"/>
      <c r="K12" s="121"/>
      <c r="L12" s="121"/>
      <c r="M12" s="121"/>
      <c r="N12" s="121"/>
      <c r="O12" s="121"/>
      <c r="P12" s="121"/>
      <c r="Q12" s="121"/>
      <c r="R12" s="121">
        <f t="shared" si="0"/>
        <v>0</v>
      </c>
    </row>
    <row r="13" spans="1:18">
      <c r="D13" s="46"/>
      <c r="H13" t="s">
        <v>201</v>
      </c>
      <c r="I13" t="s">
        <v>202</v>
      </c>
      <c r="J13" s="121">
        <f>(VLOOKUP(H13,$D$58:$E$63,2,FALSE))+(VLOOKUP(H13,$D$67:$E$72,2,FALSE))</f>
        <v>0</v>
      </c>
      <c r="K13" s="121">
        <f t="shared" ref="K13" si="1">IF(AND(E3=6,E6=8),3,0)</f>
        <v>0</v>
      </c>
      <c r="L13" s="121">
        <f t="shared" ref="L13" si="2">IF(AND(E3=8,E6=8),6,0)</f>
        <v>0</v>
      </c>
      <c r="M13" s="121"/>
      <c r="N13" s="121">
        <f>IF(E8=6,E11,0)</f>
        <v>0</v>
      </c>
      <c r="O13" s="617">
        <v>0</v>
      </c>
      <c r="P13" s="121"/>
      <c r="Q13" s="121"/>
      <c r="R13" s="121">
        <f t="shared" ref="R13" si="3">SUM(J13:N13)+SUM(O13:P13)</f>
        <v>0</v>
      </c>
    </row>
    <row r="14" spans="1:18" ht="15.75">
      <c r="A14" s="845" t="s">
        <v>203</v>
      </c>
      <c r="B14" s="846"/>
      <c r="D14" s="46" t="s">
        <v>204</v>
      </c>
      <c r="E14" s="168" t="s">
        <v>38</v>
      </c>
      <c r="F14">
        <f>IF(E14="Yes",2500,0)</f>
        <v>0</v>
      </c>
      <c r="H14" t="s">
        <v>205</v>
      </c>
      <c r="I14" t="s">
        <v>206</v>
      </c>
      <c r="J14" s="121">
        <f>(VLOOKUP(H14,$D$58:$E$63,2,FALSE))+(VLOOKUP(H14,$D$67:$E$72,2,FALSE))</f>
        <v>0</v>
      </c>
      <c r="K14" s="121">
        <f t="shared" ref="K14:K15" si="4">IF(AND(E4=6,E7=8),3,0)</f>
        <v>0</v>
      </c>
      <c r="L14" s="121">
        <f t="shared" ref="L14:L15" si="5">IF(AND(E4=8,E7=8),6,0)</f>
        <v>0</v>
      </c>
      <c r="M14" s="121"/>
      <c r="N14" s="121">
        <f>IF(E9=6,E12,0)</f>
        <v>0</v>
      </c>
      <c r="O14" s="121">
        <f>(O20*-1)*0.5</f>
        <v>0</v>
      </c>
      <c r="P14" s="121"/>
      <c r="Q14" s="121"/>
      <c r="R14" s="121">
        <f t="shared" si="0"/>
        <v>0</v>
      </c>
    </row>
    <row r="15" spans="1:18">
      <c r="A15" s="521" t="s">
        <v>173</v>
      </c>
      <c r="B15" s="528">
        <v>72</v>
      </c>
      <c r="D15" s="46"/>
      <c r="H15" t="s">
        <v>207</v>
      </c>
      <c r="I15" t="s">
        <v>208</v>
      </c>
      <c r="J15" s="121">
        <f>(VLOOKUP(H15,$D$58:$E$63,2,FALSE))+(VLOOKUP(H15,$D$67:$E$72,2,FALSE))</f>
        <v>0</v>
      </c>
      <c r="K15" s="121">
        <f t="shared" si="4"/>
        <v>0</v>
      </c>
      <c r="L15" s="121">
        <f t="shared" si="5"/>
        <v>0</v>
      </c>
      <c r="M15" s="121"/>
      <c r="N15" s="121">
        <f>IF(E9=7,E12,0)</f>
        <v>0</v>
      </c>
      <c r="O15" s="121">
        <f>(O21*-1)*0.5</f>
        <v>0</v>
      </c>
      <c r="P15" s="121"/>
      <c r="Q15" s="121"/>
      <c r="R15" s="121">
        <f t="shared" si="0"/>
        <v>0</v>
      </c>
    </row>
    <row r="16" spans="1:18" ht="15.75">
      <c r="A16" s="521" t="s">
        <v>176</v>
      </c>
      <c r="B16" s="528">
        <v>72</v>
      </c>
      <c r="D16" s="849" t="s">
        <v>209</v>
      </c>
      <c r="E16" s="849"/>
      <c r="H16" t="s">
        <v>210</v>
      </c>
      <c r="I16" t="str">
        <f>VLOOKUP(H16,Calcs!C:D,2,FALSE)</f>
        <v>8' Half Bay &lt;80 HSS Member w/Splices &amp; HDWE</v>
      </c>
      <c r="J16" s="121">
        <f>(VLOOKUP(H16,$D$58:$E$63,2,FALSE))+(VLOOKUP(H16,$D$67:$E$72,2,FALSE))</f>
        <v>0</v>
      </c>
      <c r="K16" s="121">
        <f>IF(AND(E6=6,E9=8),3,0)</f>
        <v>0</v>
      </c>
      <c r="L16" s="121">
        <f>IF(AND(E6=8,E9=8),6,0)</f>
        <v>0</v>
      </c>
      <c r="M16" s="121"/>
      <c r="N16" s="121">
        <f>IF(E9=8,E12,0)</f>
        <v>0</v>
      </c>
      <c r="O16" s="121">
        <f t="shared" ref="O16:O17" si="6">(O24*-1)*0.5</f>
        <v>0</v>
      </c>
      <c r="P16" s="121"/>
      <c r="Q16" s="121"/>
      <c r="R16" s="121">
        <f t="shared" si="0"/>
        <v>0</v>
      </c>
    </row>
    <row r="17" spans="1:18">
      <c r="A17" s="521" t="s">
        <v>211</v>
      </c>
      <c r="B17" s="528">
        <v>24</v>
      </c>
      <c r="D17" s="180" t="s">
        <v>212</v>
      </c>
      <c r="E17" s="168" t="s">
        <v>38</v>
      </c>
      <c r="F17" t="str">
        <f>IF(E17="Yes","Z","")</f>
        <v/>
      </c>
      <c r="H17" t="s">
        <v>213</v>
      </c>
      <c r="I17" t="str">
        <f>VLOOKUP(H17,Calcs!C:D,2,FALSE)</f>
        <v>9' Half Bay &lt;80 HSS Member w/Splices &amp; HDWE</v>
      </c>
      <c r="J17" s="121">
        <f>(VLOOKUP(H17,$D$61:E63,2,FALSE))+(VLOOKUP(H17,D70:E72,2,FALSE))</f>
        <v>0</v>
      </c>
      <c r="K17" s="121">
        <f>IF(AND(E6=6,E9=9),3,0)</f>
        <v>0</v>
      </c>
      <c r="L17" s="121">
        <f>IF(AND(E6=8,E9=9),6,0)</f>
        <v>0</v>
      </c>
      <c r="M17" s="121"/>
      <c r="N17" s="121">
        <f>IF(E9=9,E12,0)</f>
        <v>0</v>
      </c>
      <c r="O17" s="121">
        <f t="shared" si="6"/>
        <v>0</v>
      </c>
      <c r="P17" s="121"/>
      <c r="Q17" s="121"/>
      <c r="R17" s="121">
        <f t="shared" si="0"/>
        <v>0</v>
      </c>
    </row>
    <row r="18" spans="1:18">
      <c r="A18" s="521" t="s">
        <v>214</v>
      </c>
      <c r="B18" s="522">
        <f>(B15/12)*(B16/12)*(B17/12)</f>
        <v>72</v>
      </c>
      <c r="D18" s="180" t="s">
        <v>215</v>
      </c>
      <c r="E18" s="168" t="s">
        <v>38</v>
      </c>
      <c r="F18" t="str">
        <f>IF(E18="Yes","R","")</f>
        <v/>
      </c>
      <c r="H18" t="s">
        <v>216</v>
      </c>
      <c r="I18" t="str">
        <f>VLOOKUP(H18,Calcs!C:D,2,FALSE)</f>
        <v>10' Half Bay &lt;80 HSS Member w/Splices &amp; HDWE</v>
      </c>
      <c r="J18" s="121">
        <f>(VLOOKUP(H18,D61:E63,2,FALSE))+(VLOOKUP(H18,D70:E72,2,FALSE))</f>
        <v>4</v>
      </c>
      <c r="K18" s="121">
        <f>IF(AND(E6=6,E9=10),3,0)</f>
        <v>0</v>
      </c>
      <c r="L18" s="121">
        <f>IF(AND(E6=8,E9=10),6,0)</f>
        <v>0</v>
      </c>
      <c r="M18" s="121"/>
      <c r="N18" s="121">
        <f>IF(E9=10,E12,0)</f>
        <v>1</v>
      </c>
      <c r="O18" s="121">
        <f>(O26*-1)*0.5</f>
        <v>-1</v>
      </c>
      <c r="P18" s="121"/>
      <c r="Q18" s="121"/>
      <c r="R18" s="121">
        <f>SUM(J18:N18)+SUM(O18:P18)</f>
        <v>4</v>
      </c>
    </row>
    <row r="19" spans="1:18" ht="14.25" customHeight="1">
      <c r="A19" s="526"/>
      <c r="B19" s="522"/>
      <c r="D19" s="180" t="s">
        <v>217</v>
      </c>
      <c r="E19" s="1"/>
      <c r="H19" t="s">
        <v>218</v>
      </c>
      <c r="I19" t="str">
        <f>VLOOKUP(H19,Calcs!C:D,2,FALSE)</f>
        <v>Monkey Bar / Ladder Rungs w/ 4 Threaded Holes</v>
      </c>
      <c r="J19" s="121"/>
      <c r="K19" s="121"/>
      <c r="L19" s="121"/>
      <c r="M19" s="121"/>
      <c r="N19" s="121"/>
      <c r="O19" s="121">
        <f>IF(E4="Yes",9,0)</f>
        <v>9</v>
      </c>
      <c r="P19" s="121">
        <f>IF(E7&gt;0.01,E7*5,0)</f>
        <v>10</v>
      </c>
      <c r="Q19" s="121"/>
      <c r="R19" s="121">
        <f t="shared" si="0"/>
        <v>19</v>
      </c>
    </row>
    <row r="20" spans="1:18">
      <c r="A20" s="521" t="s">
        <v>219</v>
      </c>
      <c r="B20" s="522">
        <v>500</v>
      </c>
      <c r="D20" s="223" t="s">
        <v>217</v>
      </c>
      <c r="E20" s="168" t="s">
        <v>38</v>
      </c>
      <c r="H20" t="s">
        <v>220</v>
      </c>
      <c r="I20" t="s">
        <v>221</v>
      </c>
      <c r="J20" s="121"/>
      <c r="K20" s="121"/>
      <c r="L20" s="121"/>
      <c r="M20" s="121"/>
      <c r="N20" s="121"/>
      <c r="O20" s="121">
        <f>IF(E55="Yes6",2,0)</f>
        <v>0</v>
      </c>
      <c r="P20" s="121"/>
      <c r="Q20" s="121"/>
      <c r="R20" s="121">
        <f t="shared" si="0"/>
        <v>0</v>
      </c>
    </row>
    <row r="21" spans="1:18">
      <c r="A21" s="521"/>
      <c r="B21" s="522"/>
      <c r="D21" s="223" t="s">
        <v>222</v>
      </c>
      <c r="E21" s="168" t="s">
        <v>38</v>
      </c>
      <c r="H21" t="s">
        <v>223</v>
      </c>
      <c r="I21" t="s">
        <v>224</v>
      </c>
      <c r="J21" s="121"/>
      <c r="K21" s="121"/>
      <c r="L21" s="121"/>
      <c r="M21" s="121"/>
      <c r="N21" s="121"/>
      <c r="O21" s="121">
        <f>IF(E54="Yes7",2,0)</f>
        <v>0</v>
      </c>
      <c r="P21" s="121"/>
      <c r="Q21" s="121"/>
      <c r="R21" s="121">
        <f t="shared" si="0"/>
        <v>0</v>
      </c>
    </row>
    <row r="22" spans="1:18">
      <c r="A22" s="521"/>
      <c r="B22" s="522"/>
      <c r="D22" s="223" t="s">
        <v>225</v>
      </c>
      <c r="E22" s="168" t="s">
        <v>38</v>
      </c>
      <c r="J22" s="121"/>
      <c r="K22" s="121"/>
      <c r="L22" s="121"/>
      <c r="M22" s="121"/>
      <c r="N22" s="121"/>
      <c r="O22" s="121"/>
      <c r="P22" s="121"/>
      <c r="Q22" s="121"/>
      <c r="R22" s="121"/>
    </row>
    <row r="23" spans="1:18">
      <c r="A23" s="527" t="s">
        <v>226</v>
      </c>
      <c r="B23" s="525">
        <f>B18/7</f>
        <v>10.285714285714286</v>
      </c>
      <c r="D23" s="795" t="s">
        <v>227</v>
      </c>
      <c r="E23" s="360" t="s">
        <v>38</v>
      </c>
      <c r="J23" s="121"/>
      <c r="K23" s="121"/>
      <c r="L23" s="121"/>
      <c r="M23" s="121"/>
      <c r="N23" s="121"/>
      <c r="O23" s="121"/>
      <c r="P23" s="121"/>
      <c r="Q23" s="121"/>
      <c r="R23" s="121"/>
    </row>
    <row r="24" spans="1:18">
      <c r="D24" s="180" t="s">
        <v>228</v>
      </c>
      <c r="E24" s="1"/>
      <c r="H24" t="s">
        <v>229</v>
      </c>
      <c r="I24" t="str">
        <f>VLOOKUP(H24,Calcs!C:D,2,FALSE)</f>
        <v>8' Half Bay Monkey Bar HSS Member w/ Logo</v>
      </c>
      <c r="J24" s="121"/>
      <c r="K24" s="121"/>
      <c r="L24" s="121"/>
      <c r="M24" s="121"/>
      <c r="N24" s="121"/>
      <c r="O24" s="121">
        <f>IF(E55="Yes8",2,0)</f>
        <v>0</v>
      </c>
      <c r="P24" s="121"/>
      <c r="Q24" s="121"/>
      <c r="R24" s="121">
        <f t="shared" si="0"/>
        <v>0</v>
      </c>
    </row>
    <row r="25" spans="1:18" ht="15.75">
      <c r="A25" s="845" t="s">
        <v>230</v>
      </c>
      <c r="B25" s="846"/>
      <c r="D25" s="223" t="s">
        <v>231</v>
      </c>
      <c r="E25" s="168" t="s">
        <v>38</v>
      </c>
      <c r="H25" t="s">
        <v>232</v>
      </c>
      <c r="I25" t="str">
        <f>VLOOKUP(H25,Calcs!C:D,2,FALSE)</f>
        <v>9' Half Bay &lt;80 Monkey Bar HSS w/Splices &amp; HDWE</v>
      </c>
      <c r="J25" s="121"/>
      <c r="K25" s="121"/>
      <c r="L25" s="121"/>
      <c r="M25" s="121"/>
      <c r="N25" s="121"/>
      <c r="O25" s="121">
        <f>IF(E55="Yes9",2,0)</f>
        <v>0</v>
      </c>
      <c r="P25" s="121"/>
      <c r="Q25" s="121"/>
      <c r="R25" s="121">
        <f t="shared" si="0"/>
        <v>0</v>
      </c>
    </row>
    <row r="26" spans="1:18">
      <c r="A26" s="521" t="s">
        <v>233</v>
      </c>
      <c r="B26" s="522"/>
      <c r="D26" s="547" t="s">
        <v>234</v>
      </c>
      <c r="E26" s="168" t="s">
        <v>38</v>
      </c>
      <c r="H26" t="s">
        <v>235</v>
      </c>
      <c r="I26" t="str">
        <f>VLOOKUP(H26,Calcs!C:D,2,FALSE)</f>
        <v>10' Half Bay &lt;80 Monkey Bar HSS w/Splices &amp; HDWE</v>
      </c>
      <c r="J26" s="121"/>
      <c r="K26" s="121"/>
      <c r="L26" s="121"/>
      <c r="M26" s="121"/>
      <c r="N26" s="121"/>
      <c r="O26" s="121">
        <f>IF(E55="Yes10",2,0)</f>
        <v>2</v>
      </c>
      <c r="P26" s="121"/>
      <c r="Q26" s="121"/>
      <c r="R26" s="121">
        <f>SUM(J26:N26)+SUM(O26:P26)</f>
        <v>2</v>
      </c>
    </row>
    <row r="27" spans="1:18">
      <c r="A27" s="534" t="s">
        <v>236</v>
      </c>
      <c r="B27" s="522"/>
      <c r="D27" s="223" t="s">
        <v>237</v>
      </c>
      <c r="E27" s="168" t="s">
        <v>49</v>
      </c>
      <c r="H27" t="s">
        <v>238</v>
      </c>
      <c r="I27" t="str">
        <f>VLOOKUP(H27,Calcs!C:D,2,FALSE)</f>
        <v>Zip Line HSS Tube</v>
      </c>
      <c r="J27" s="121">
        <f>IF(E17="Yes",2,0)</f>
        <v>0</v>
      </c>
      <c r="K27" s="121"/>
      <c r="L27" s="121"/>
      <c r="M27" s="121"/>
      <c r="N27" s="121"/>
      <c r="O27" s="121"/>
      <c r="P27" s="121"/>
      <c r="Q27" s="121"/>
      <c r="R27" s="121">
        <f>SUM(J27:N27)+SUM(O27:P27)</f>
        <v>0</v>
      </c>
    </row>
    <row r="28" spans="1:18">
      <c r="A28" s="145" t="s">
        <v>239</v>
      </c>
      <c r="B28" s="535">
        <v>4.75</v>
      </c>
      <c r="D28" s="223" t="s">
        <v>240</v>
      </c>
      <c r="E28" s="168" t="s">
        <v>38</v>
      </c>
      <c r="H28" t="s">
        <v>241</v>
      </c>
      <c r="I28" t="str">
        <f>VLOOKUP(H28,Calcs!C:D,2,FALSE)</f>
        <v>Base Plate Shield</v>
      </c>
      <c r="J28" s="121">
        <f>J3*2</f>
        <v>8</v>
      </c>
      <c r="K28" s="121">
        <f t="shared" ref="K28:L28" si="7">K3*2</f>
        <v>0</v>
      </c>
      <c r="L28" s="121">
        <f t="shared" si="7"/>
        <v>0</v>
      </c>
      <c r="M28" s="121"/>
      <c r="N28" s="121"/>
      <c r="O28" s="121"/>
      <c r="P28" s="121"/>
      <c r="Q28" s="121"/>
      <c r="R28" s="121">
        <f t="shared" si="0"/>
        <v>8</v>
      </c>
    </row>
    <row r="29" spans="1:18">
      <c r="A29" s="145" t="s">
        <v>242</v>
      </c>
      <c r="B29" s="535">
        <v>5.75</v>
      </c>
      <c r="D29" s="180" t="s">
        <v>243</v>
      </c>
      <c r="E29" s="1"/>
      <c r="H29" t="s">
        <v>244</v>
      </c>
      <c r="I29" t="str">
        <f>VLOOKUP(H29,Calcs!C:D,2,FALSE)</f>
        <v>4.5' Full Bay HSS Member Alt w/Logo</v>
      </c>
      <c r="J29" s="121"/>
      <c r="K29" s="121"/>
      <c r="L29" s="121"/>
      <c r="M29" s="121"/>
      <c r="N29" s="121"/>
      <c r="O29" s="121"/>
      <c r="P29" s="121"/>
      <c r="Q29" s="121"/>
      <c r="R29" s="272">
        <f t="shared" si="0"/>
        <v>0</v>
      </c>
    </row>
    <row r="30" spans="1:18">
      <c r="A30" s="534" t="s">
        <v>179</v>
      </c>
      <c r="B30" s="522">
        <v>21</v>
      </c>
      <c r="D30" s="223" t="s">
        <v>245</v>
      </c>
      <c r="E30" s="168" t="s">
        <v>49</v>
      </c>
      <c r="F30" cm="1">
        <f t="array" ref="F30">_xlfn.IFS(E6=6,2,E6=8,3,E6=4,1)</f>
        <v>1</v>
      </c>
    </row>
    <row r="31" spans="1:18">
      <c r="B31" s="522"/>
      <c r="D31" s="223" t="s">
        <v>246</v>
      </c>
      <c r="E31" s="168" t="s">
        <v>49</v>
      </c>
      <c r="F31">
        <f>IF(E31="Yes",E6,0)</f>
        <v>4</v>
      </c>
      <c r="H31" s="122" t="s">
        <v>174</v>
      </c>
      <c r="I31" s="122" t="s">
        <v>247</v>
      </c>
      <c r="J31" s="130" t="s">
        <v>248</v>
      </c>
      <c r="K31" s="187"/>
      <c r="L31" s="187"/>
      <c r="M31" s="187"/>
      <c r="N31" s="187"/>
      <c r="O31" s="187"/>
      <c r="P31" s="187"/>
      <c r="R31" s="130" t="str">
        <f>R1</f>
        <v>TOTAL</v>
      </c>
    </row>
    <row r="32" spans="1:18">
      <c r="B32" s="522"/>
      <c r="D32" s="223" t="s">
        <v>249</v>
      </c>
      <c r="E32" s="168" t="s">
        <v>49</v>
      </c>
      <c r="F32">
        <f>E7</f>
        <v>2</v>
      </c>
      <c r="H32" t="s">
        <v>250</v>
      </c>
      <c r="I32" t="s">
        <v>251</v>
      </c>
      <c r="J32" s="121">
        <f>IF($E$8="Yes",1,0)</f>
        <v>1</v>
      </c>
      <c r="K32" s="121"/>
      <c r="L32" s="121"/>
      <c r="M32" s="121"/>
      <c r="N32" s="121"/>
      <c r="O32" s="121"/>
      <c r="P32" s="121"/>
      <c r="Q32" s="121"/>
      <c r="R32" s="121">
        <f>J32</f>
        <v>1</v>
      </c>
    </row>
    <row r="33" spans="1:18">
      <c r="B33" s="522"/>
      <c r="D33" s="223" t="s">
        <v>252</v>
      </c>
      <c r="E33" s="168" t="s">
        <v>38</v>
      </c>
      <c r="F33" s="131"/>
      <c r="H33" t="s">
        <v>253</v>
      </c>
      <c r="I33" t="s">
        <v>254</v>
      </c>
      <c r="J33" s="121">
        <f>IF($E$8="Yes",2,0)</f>
        <v>2</v>
      </c>
      <c r="K33" s="121"/>
      <c r="L33" s="121"/>
      <c r="M33" s="121"/>
      <c r="N33" s="121"/>
      <c r="O33" s="121"/>
      <c r="P33" s="121"/>
      <c r="Q33" s="121"/>
      <c r="R33" s="121">
        <f t="shared" ref="R33:R40" si="8">J33</f>
        <v>2</v>
      </c>
    </row>
    <row r="34" spans="1:18" ht="15.75">
      <c r="A34" s="529"/>
      <c r="B34" s="530"/>
      <c r="D34" s="180" t="s">
        <v>255</v>
      </c>
      <c r="E34" s="1"/>
      <c r="F34" s="131"/>
      <c r="H34" t="s">
        <v>256</v>
      </c>
      <c r="I34" t="s">
        <v>257</v>
      </c>
      <c r="J34" s="121">
        <v>0</v>
      </c>
      <c r="K34" s="121"/>
      <c r="L34" s="121"/>
      <c r="M34" s="121"/>
      <c r="N34" s="121"/>
      <c r="O34" s="121"/>
      <c r="P34" s="121"/>
      <c r="Q34" s="121"/>
      <c r="R34" s="121">
        <f t="shared" si="8"/>
        <v>0</v>
      </c>
    </row>
    <row r="35" spans="1:18">
      <c r="A35" s="521" t="s">
        <v>173</v>
      </c>
      <c r="B35" s="528">
        <v>72</v>
      </c>
      <c r="D35" s="223" t="s">
        <v>258</v>
      </c>
      <c r="E35" s="168" t="s">
        <v>38</v>
      </c>
      <c r="F35" s="131"/>
      <c r="H35" t="s">
        <v>259</v>
      </c>
      <c r="I35" t="s">
        <v>260</v>
      </c>
      <c r="J35" s="121">
        <f>IF($E$8="Yes",2,0)</f>
        <v>2</v>
      </c>
      <c r="K35" s="121"/>
      <c r="L35" s="121"/>
      <c r="M35" s="121"/>
      <c r="N35" s="121"/>
      <c r="O35" s="121"/>
      <c r="P35" s="121"/>
      <c r="Q35" s="121"/>
      <c r="R35" s="121">
        <f t="shared" si="8"/>
        <v>2</v>
      </c>
    </row>
    <row r="36" spans="1:18">
      <c r="A36" s="521" t="s">
        <v>176</v>
      </c>
      <c r="B36" s="528">
        <v>42</v>
      </c>
      <c r="D36" s="180" t="s">
        <v>261</v>
      </c>
      <c r="E36" s="1"/>
      <c r="F36" s="131"/>
      <c r="H36" t="s">
        <v>262</v>
      </c>
      <c r="I36" t="s">
        <v>263</v>
      </c>
      <c r="J36" s="121">
        <v>0</v>
      </c>
      <c r="K36" s="121"/>
      <c r="L36" s="121"/>
      <c r="M36" s="121"/>
      <c r="N36" s="121"/>
      <c r="O36" s="121"/>
      <c r="P36" s="121"/>
      <c r="Q36" s="121"/>
      <c r="R36" s="121">
        <f t="shared" si="8"/>
        <v>0</v>
      </c>
    </row>
    <row r="37" spans="1:18">
      <c r="A37" s="521" t="s">
        <v>179</v>
      </c>
      <c r="B37" s="522">
        <f>(B35/12)*(B36/12)</f>
        <v>21</v>
      </c>
      <c r="D37" s="223" t="s">
        <v>264</v>
      </c>
      <c r="E37" s="168" t="s">
        <v>38</v>
      </c>
      <c r="H37" t="s">
        <v>265</v>
      </c>
      <c r="I37" t="s">
        <v>266</v>
      </c>
      <c r="J37" s="121">
        <v>0</v>
      </c>
      <c r="K37" s="121"/>
      <c r="L37" s="121"/>
      <c r="M37" s="121"/>
      <c r="N37" s="121"/>
      <c r="O37" s="121"/>
      <c r="P37" s="121"/>
      <c r="Q37" s="121"/>
      <c r="R37" s="121">
        <f t="shared" si="8"/>
        <v>0</v>
      </c>
    </row>
    <row r="38" spans="1:18">
      <c r="A38" s="521" t="s">
        <v>267</v>
      </c>
      <c r="B38" s="531">
        <f>B37/B30</f>
        <v>1</v>
      </c>
      <c r="D38" s="223" t="s">
        <v>268</v>
      </c>
      <c r="E38" s="168" t="s">
        <v>38</v>
      </c>
      <c r="H38" t="s">
        <v>269</v>
      </c>
      <c r="I38" t="s">
        <v>270</v>
      </c>
      <c r="J38" s="121">
        <f>IF($E$8="Yes",6,0)</f>
        <v>6</v>
      </c>
      <c r="K38" s="121"/>
      <c r="L38" s="121"/>
      <c r="M38" s="121"/>
      <c r="N38" s="121"/>
      <c r="O38" s="121"/>
      <c r="P38" s="121"/>
      <c r="Q38" s="121"/>
      <c r="R38" s="121">
        <f t="shared" si="8"/>
        <v>6</v>
      </c>
    </row>
    <row r="39" spans="1:18">
      <c r="A39" s="526"/>
      <c r="B39" s="437"/>
      <c r="D39" s="180" t="s">
        <v>271</v>
      </c>
      <c r="E39" s="1"/>
      <c r="H39" t="s">
        <v>272</v>
      </c>
      <c r="I39" t="s">
        <v>273</v>
      </c>
      <c r="J39" s="121">
        <f>IF($E$8="Yes",4,0)</f>
        <v>4</v>
      </c>
      <c r="K39" s="121"/>
      <c r="L39" s="121"/>
      <c r="M39" s="121"/>
      <c r="N39" s="121"/>
      <c r="O39" s="121"/>
      <c r="P39" s="121"/>
      <c r="Q39" s="121"/>
      <c r="R39" s="121">
        <f t="shared" si="8"/>
        <v>4</v>
      </c>
    </row>
    <row r="40" spans="1:18">
      <c r="A40" s="521" t="s">
        <v>179</v>
      </c>
      <c r="B40" s="532">
        <v>1000</v>
      </c>
      <c r="D40" s="223" t="s">
        <v>271</v>
      </c>
      <c r="E40" s="168" t="s">
        <v>38</v>
      </c>
      <c r="H40" t="s">
        <v>274</v>
      </c>
      <c r="I40" t="s">
        <v>275</v>
      </c>
      <c r="J40" s="121">
        <f>IF($E$8="Yes",2,0)</f>
        <v>2</v>
      </c>
      <c r="K40" s="121"/>
      <c r="L40" s="121"/>
      <c r="M40" s="121"/>
      <c r="N40" s="121"/>
      <c r="O40" s="121"/>
      <c r="P40" s="121"/>
      <c r="Q40" s="121"/>
      <c r="R40" s="272">
        <f t="shared" si="8"/>
        <v>2</v>
      </c>
    </row>
    <row r="41" spans="1:18">
      <c r="A41" s="527" t="s">
        <v>267</v>
      </c>
      <c r="B41" s="533">
        <f>B40/B30</f>
        <v>47.61904761904762</v>
      </c>
      <c r="D41" s="223"/>
      <c r="E41" s="1"/>
      <c r="J41" s="121"/>
      <c r="K41" s="121"/>
      <c r="L41" s="121"/>
      <c r="M41" s="121"/>
      <c r="N41" s="121"/>
      <c r="O41" s="121"/>
      <c r="P41" s="121"/>
      <c r="Q41" s="121"/>
      <c r="R41" s="48" t="s">
        <v>172</v>
      </c>
    </row>
    <row r="42" spans="1:18">
      <c r="D42" s="122" t="s">
        <v>276</v>
      </c>
      <c r="E42" s="187"/>
    </row>
    <row r="43" spans="1:18">
      <c r="D43" s="46" t="s">
        <v>277</v>
      </c>
      <c r="E43" s="168">
        <v>4</v>
      </c>
    </row>
    <row r="44" spans="1:18">
      <c r="D44" s="287" t="s">
        <v>278</v>
      </c>
      <c r="E44" s="168">
        <v>4</v>
      </c>
    </row>
    <row r="45" spans="1:18">
      <c r="D45" s="287" t="s">
        <v>279</v>
      </c>
      <c r="E45" s="1">
        <f>E43-E44</f>
        <v>0</v>
      </c>
    </row>
    <row r="46" spans="1:18">
      <c r="D46" s="287"/>
      <c r="E46" s="1"/>
    </row>
    <row r="47" spans="1:18">
      <c r="D47" s="359" t="s">
        <v>278</v>
      </c>
      <c r="E47" s="168">
        <v>0</v>
      </c>
    </row>
    <row r="48" spans="1:18">
      <c r="D48" s="46" t="s">
        <v>280</v>
      </c>
      <c r="E48" s="168">
        <v>12</v>
      </c>
    </row>
    <row r="49" spans="4:6">
      <c r="D49" s="46" t="s">
        <v>281</v>
      </c>
      <c r="E49" s="168">
        <v>0</v>
      </c>
      <c r="F49" t="s">
        <v>282</v>
      </c>
    </row>
    <row r="50" spans="4:6">
      <c r="D50" s="46"/>
      <c r="E50" s="1"/>
    </row>
    <row r="51" spans="4:6">
      <c r="D51" s="46" t="s">
        <v>283</v>
      </c>
      <c r="E51" s="168">
        <v>0</v>
      </c>
    </row>
    <row r="52" spans="4:6">
      <c r="D52" s="46" t="s">
        <v>284</v>
      </c>
      <c r="E52" s="168">
        <v>2</v>
      </c>
      <c r="F52">
        <f>(E48+E44)/4</f>
        <v>4</v>
      </c>
    </row>
    <row r="53" spans="4:6">
      <c r="D53" s="46" t="s">
        <v>285</v>
      </c>
      <c r="E53" s="168">
        <v>0</v>
      </c>
      <c r="F53">
        <f>F52</f>
        <v>4</v>
      </c>
    </row>
    <row r="54" spans="4:6">
      <c r="D54" s="46"/>
      <c r="E54" s="1" t="str">
        <f>F3&amp;"R-SSA-"&amp;F9&amp;F10&amp;"CLM"</f>
        <v>SQ-R-SSA-1010CLM</v>
      </c>
    </row>
    <row r="55" spans="4:6">
      <c r="E55" t="str">
        <f>E4&amp;E9</f>
        <v>Yes10</v>
      </c>
    </row>
    <row r="56" spans="4:6">
      <c r="E56" t="str">
        <f>E4&amp;E6</f>
        <v>Yes4</v>
      </c>
    </row>
    <row r="57" spans="4:6">
      <c r="D57" s="122" t="s">
        <v>286</v>
      </c>
      <c r="E57" s="122"/>
    </row>
    <row r="58" spans="4:6">
      <c r="D58" t="s">
        <v>205</v>
      </c>
      <c r="E58">
        <f>IF(E10=6,2,0)</f>
        <v>0</v>
      </c>
    </row>
    <row r="59" spans="4:6">
      <c r="D59" t="s">
        <v>201</v>
      </c>
      <c r="E59">
        <f>IF(E9=7,2,0)</f>
        <v>0</v>
      </c>
    </row>
    <row r="60" spans="4:6">
      <c r="D60" t="s">
        <v>207</v>
      </c>
      <c r="E60">
        <f>IF(E10=7,2,0)</f>
        <v>0</v>
      </c>
    </row>
    <row r="61" spans="4:6">
      <c r="D61" t="s">
        <v>210</v>
      </c>
      <c r="E61">
        <f>IF(E10=8,2,0)</f>
        <v>0</v>
      </c>
    </row>
    <row r="62" spans="4:6">
      <c r="D62" t="s">
        <v>213</v>
      </c>
      <c r="E62" s="101">
        <f>IF(E10=9,2,0)</f>
        <v>0</v>
      </c>
    </row>
    <row r="63" spans="4:6">
      <c r="D63" s="255" t="s">
        <v>216</v>
      </c>
      <c r="E63" s="255">
        <f>IF(E10=10,2,0)</f>
        <v>2</v>
      </c>
    </row>
    <row r="64" spans="4:6">
      <c r="D64" s="46" t="s">
        <v>172</v>
      </c>
      <c r="E64" s="46">
        <f>SUM(E61:E63)</f>
        <v>2</v>
      </c>
    </row>
    <row r="65" spans="4:5"/>
    <row r="66" spans="4:5">
      <c r="D66" s="806" t="s">
        <v>287</v>
      </c>
      <c r="E66" s="806"/>
    </row>
    <row r="67" spans="4:5">
      <c r="D67" t="s">
        <v>205</v>
      </c>
      <c r="E67">
        <f>IF(E9=6,J2-E64,0)</f>
        <v>0</v>
      </c>
    </row>
    <row r="68" spans="4:5">
      <c r="D68" t="s">
        <v>201</v>
      </c>
      <c r="E68">
        <f>IF(E8=7,J1-E63,0)</f>
        <v>0</v>
      </c>
    </row>
    <row r="69" spans="4:5">
      <c r="D69" t="s">
        <v>207</v>
      </c>
      <c r="E69">
        <f>IF(E9=7,J2-E64,0)</f>
        <v>0</v>
      </c>
    </row>
    <row r="70" spans="4:5">
      <c r="D70" t="s">
        <v>210</v>
      </c>
      <c r="E70">
        <f>IF(E9=8,J2-E64,0)</f>
        <v>0</v>
      </c>
    </row>
    <row r="71" spans="4:5">
      <c r="D71" t="s">
        <v>213</v>
      </c>
      <c r="E71">
        <f>IF(E9=9,J2-E64,0)</f>
        <v>0</v>
      </c>
    </row>
    <row r="72" spans="4:5">
      <c r="D72" s="255" t="s">
        <v>216</v>
      </c>
      <c r="E72" s="255">
        <f>IF(E9=10,J2-E64,0)</f>
        <v>2</v>
      </c>
    </row>
    <row r="73" spans="4:5">
      <c r="D73" s="46" t="s">
        <v>172</v>
      </c>
      <c r="E73" s="46">
        <f>SUM(E70:E72)</f>
        <v>2</v>
      </c>
    </row>
    <row r="74" spans="4:5"/>
    <row r="75" spans="4:5">
      <c r="D75" s="806" t="s">
        <v>288</v>
      </c>
      <c r="E75" s="806"/>
    </row>
    <row r="76" spans="4:5">
      <c r="D76" t="s">
        <v>289</v>
      </c>
      <c r="E76">
        <f>IF(D76=$E$54,1,0)</f>
        <v>1</v>
      </c>
    </row>
    <row r="77" spans="4:5">
      <c r="D77" t="s">
        <v>290</v>
      </c>
      <c r="E77">
        <f>IF(D77=$E$54,2,0)</f>
        <v>0</v>
      </c>
    </row>
    <row r="78" spans="4:5">
      <c r="D78" t="s">
        <v>291</v>
      </c>
      <c r="E78">
        <f>IF(D78=$E$54,3,0)</f>
        <v>0</v>
      </c>
    </row>
    <row r="79" spans="4:5" ht="15" customHeight="1">
      <c r="D79" s="255" t="s">
        <v>292</v>
      </c>
      <c r="E79" s="255">
        <f>IF(D79=$E$54,3,0)</f>
        <v>0</v>
      </c>
    </row>
    <row r="80" spans="4:5" ht="15" customHeight="1">
      <c r="D80" s="46" t="s">
        <v>293</v>
      </c>
      <c r="E80" s="46">
        <f>SUM(E76:E79)</f>
        <v>1</v>
      </c>
    </row>
    <row r="82" spans="3:6" ht="15" customHeight="1">
      <c r="D82" t="s">
        <v>294</v>
      </c>
      <c r="E82">
        <f t="shared" ref="E82:E83" si="9">IF(D82=$E$54,1,0)</f>
        <v>0</v>
      </c>
    </row>
    <row r="83" spans="3:6" ht="15" customHeight="1">
      <c r="D83" t="s">
        <v>295</v>
      </c>
      <c r="E83">
        <f t="shared" si="9"/>
        <v>0</v>
      </c>
    </row>
    <row r="84" spans="3:6" ht="15" customHeight="1">
      <c r="D84" s="255" t="s">
        <v>296</v>
      </c>
      <c r="E84" s="255">
        <f>IF(D84=$E$54,2,0)</f>
        <v>0</v>
      </c>
    </row>
    <row r="85" spans="3:6" ht="15" customHeight="1">
      <c r="D85" s="46" t="s">
        <v>297</v>
      </c>
      <c r="E85" s="46">
        <f>SUM(E81:E84)</f>
        <v>0</v>
      </c>
    </row>
    <row r="87" spans="3:6" ht="15" customHeight="1">
      <c r="D87" t="s">
        <v>298</v>
      </c>
      <c r="E87">
        <f t="shared" ref="E87" si="10">IF(D87=$E$54,1,0)</f>
        <v>0</v>
      </c>
    </row>
    <row r="88" spans="3:6" ht="15" customHeight="1">
      <c r="D88" s="255" t="s">
        <v>299</v>
      </c>
      <c r="E88" s="255">
        <f>IF(D88=$E$54,2,0)</f>
        <v>0</v>
      </c>
    </row>
    <row r="89" spans="3:6" ht="15" customHeight="1">
      <c r="D89" s="46" t="s">
        <v>300</v>
      </c>
      <c r="E89" s="46">
        <f>SUM(E86:E88)</f>
        <v>0</v>
      </c>
    </row>
    <row r="91" spans="3:6" ht="15" customHeight="1">
      <c r="D91" t="s">
        <v>301</v>
      </c>
      <c r="E91">
        <f t="shared" ref="E91" si="11">IF(D91=$E$54,1,0)</f>
        <v>0</v>
      </c>
    </row>
    <row r="92" spans="3:6" ht="15" customHeight="1">
      <c r="D92" s="255" t="s">
        <v>302</v>
      </c>
      <c r="E92" s="255">
        <f>IF(D92=$E$54,2,0)</f>
        <v>0</v>
      </c>
    </row>
    <row r="93" spans="3:6" ht="15" customHeight="1">
      <c r="D93" s="46" t="s">
        <v>303</v>
      </c>
      <c r="E93" s="46">
        <f>SUM(E90:E92)</f>
        <v>0</v>
      </c>
    </row>
    <row r="96" spans="3:6" ht="15" customHeight="1">
      <c r="C96" s="144" t="s">
        <v>304</v>
      </c>
      <c r="D96" s="144" t="s">
        <v>305</v>
      </c>
      <c r="E96">
        <f t="shared" ref="E96:E110" si="12">IF(C96=$E$54,1,0)</f>
        <v>0</v>
      </c>
      <c r="F96" s="144"/>
    </row>
    <row r="97" spans="3:6" ht="15" customHeight="1">
      <c r="C97" s="144" t="s">
        <v>306</v>
      </c>
      <c r="D97" s="144" t="s">
        <v>307</v>
      </c>
      <c r="E97">
        <f t="shared" si="12"/>
        <v>0</v>
      </c>
      <c r="F97" s="144"/>
    </row>
    <row r="98" spans="3:6" ht="15" customHeight="1">
      <c r="C98" s="144" t="s">
        <v>301</v>
      </c>
      <c r="D98" s="144" t="s">
        <v>308</v>
      </c>
      <c r="E98">
        <f t="shared" si="12"/>
        <v>0</v>
      </c>
      <c r="F98" s="144"/>
    </row>
    <row r="99" spans="3:6" ht="15" customHeight="1">
      <c r="C99" s="144" t="s">
        <v>309</v>
      </c>
      <c r="D99" s="144" t="s">
        <v>310</v>
      </c>
      <c r="E99">
        <f t="shared" si="12"/>
        <v>0</v>
      </c>
      <c r="F99" s="144"/>
    </row>
    <row r="100" spans="3:6" ht="15" customHeight="1">
      <c r="C100" s="144" t="s">
        <v>311</v>
      </c>
      <c r="D100" s="144" t="s">
        <v>312</v>
      </c>
      <c r="E100">
        <f t="shared" si="12"/>
        <v>0</v>
      </c>
      <c r="F100" s="144"/>
    </row>
    <row r="101" spans="3:6" ht="15" customHeight="1">
      <c r="C101" s="144" t="s">
        <v>313</v>
      </c>
      <c r="D101" s="144" t="s">
        <v>314</v>
      </c>
      <c r="E101">
        <f t="shared" si="12"/>
        <v>0</v>
      </c>
      <c r="F101" s="144"/>
    </row>
    <row r="102" spans="3:6" ht="15" customHeight="1">
      <c r="C102" s="144" t="s">
        <v>302</v>
      </c>
      <c r="D102" s="144" t="s">
        <v>315</v>
      </c>
      <c r="E102">
        <f t="shared" si="12"/>
        <v>0</v>
      </c>
      <c r="F102" s="144"/>
    </row>
    <row r="103" spans="3:6" ht="15" customHeight="1">
      <c r="C103" s="144" t="s">
        <v>290</v>
      </c>
      <c r="D103" s="144" t="s">
        <v>316</v>
      </c>
      <c r="E103">
        <f t="shared" si="12"/>
        <v>0</v>
      </c>
      <c r="F103" s="144"/>
    </row>
    <row r="104" spans="3:6" ht="15" customHeight="1">
      <c r="C104" s="144" t="s">
        <v>317</v>
      </c>
      <c r="D104" s="144" t="s">
        <v>318</v>
      </c>
      <c r="E104">
        <f t="shared" si="12"/>
        <v>0</v>
      </c>
      <c r="F104" s="144"/>
    </row>
    <row r="105" spans="3:6" ht="15" customHeight="1">
      <c r="C105" s="144" t="s">
        <v>295</v>
      </c>
      <c r="D105" s="144" t="s">
        <v>319</v>
      </c>
      <c r="E105">
        <f t="shared" si="12"/>
        <v>0</v>
      </c>
      <c r="F105" s="144"/>
    </row>
    <row r="106" spans="3:6" ht="15" customHeight="1">
      <c r="C106" s="144" t="s">
        <v>320</v>
      </c>
      <c r="D106" s="144" t="s">
        <v>321</v>
      </c>
      <c r="E106">
        <f t="shared" si="12"/>
        <v>0</v>
      </c>
      <c r="F106" s="144"/>
    </row>
    <row r="107" spans="3:6" ht="15" customHeight="1">
      <c r="C107" s="144" t="s">
        <v>289</v>
      </c>
      <c r="D107" s="144" t="s">
        <v>322</v>
      </c>
      <c r="E107">
        <f t="shared" si="12"/>
        <v>1</v>
      </c>
      <c r="F107" s="144"/>
    </row>
    <row r="108" spans="3:6" ht="15" customHeight="1">
      <c r="C108" s="144" t="s">
        <v>298</v>
      </c>
      <c r="D108" s="144" t="s">
        <v>323</v>
      </c>
      <c r="E108">
        <f t="shared" si="12"/>
        <v>0</v>
      </c>
      <c r="F108" s="144"/>
    </row>
    <row r="109" spans="3:6" ht="15" customHeight="1">
      <c r="C109" s="144" t="s">
        <v>294</v>
      </c>
      <c r="D109" s="144" t="s">
        <v>324</v>
      </c>
      <c r="E109">
        <f t="shared" si="12"/>
        <v>0</v>
      </c>
      <c r="F109" s="144"/>
    </row>
    <row r="110" spans="3:6" ht="15" customHeight="1">
      <c r="C110" s="144" t="s">
        <v>320</v>
      </c>
      <c r="D110" t="s">
        <v>321</v>
      </c>
      <c r="E110">
        <f t="shared" si="12"/>
        <v>0</v>
      </c>
    </row>
  </sheetData>
  <sortState xmlns:xlrd2="http://schemas.microsoft.com/office/spreadsheetml/2017/richdata2" ref="C96:C109">
    <sortCondition ref="C96:C109"/>
  </sortState>
  <mergeCells count="12">
    <mergeCell ref="A14:B14"/>
    <mergeCell ref="D75:E75"/>
    <mergeCell ref="D66:E66"/>
    <mergeCell ref="R1:R2"/>
    <mergeCell ref="J1:L1"/>
    <mergeCell ref="N1:N2"/>
    <mergeCell ref="P1:P2"/>
    <mergeCell ref="O1:O2"/>
    <mergeCell ref="M1:M2"/>
    <mergeCell ref="A1:B1"/>
    <mergeCell ref="D16:E16"/>
    <mergeCell ref="A25:B25"/>
  </mergeCells>
  <conditionalFormatting sqref="F33:F36">
    <cfRule type="expression" dxfId="95" priority="8">
      <formula>$E$33="Yes"</formula>
    </cfRule>
  </conditionalFormatting>
  <conditionalFormatting sqref="E7 E5">
    <cfRule type="expression" dxfId="94" priority="99">
      <formula>#REF!="Yes"</formula>
    </cfRule>
  </conditionalFormatting>
  <conditionalFormatting sqref="E35">
    <cfRule type="expression" dxfId="93" priority="6">
      <formula>$E$7=0</formula>
    </cfRule>
  </conditionalFormatting>
  <dataValidations count="11">
    <dataValidation allowBlank="1" showInputMessage="1" showErrorMessage="1" sqref="E6 E43:E47 E54" xr:uid="{A6086E19-E239-4436-A0E1-AC92784984A6}"/>
    <dataValidation type="list" allowBlank="1" showInputMessage="1" showErrorMessage="1" sqref="E5" xr:uid="{C1A9A69B-D749-431E-B1A1-FC043B703C9F}">
      <formula1>"0,1,2,3"</formula1>
    </dataValidation>
    <dataValidation type="list" allowBlank="1" showInputMessage="1" showErrorMessage="1" sqref="E8 E14 E4 E17:E19 E23:E41" xr:uid="{4833EC79-D3E7-42A0-822E-B181489D9499}">
      <formula1>"Yes,No"</formula1>
    </dataValidation>
    <dataValidation type="list" allowBlank="1" showInputMessage="1" showErrorMessage="1" sqref="E3" xr:uid="{5ADDFC50-E02B-445C-9E54-A790922BF67A}">
      <formula1>"-,Square,Rectangle,L Shape, T Shape"</formula1>
    </dataValidation>
    <dataValidation type="list" allowBlank="1" showInputMessage="1" showErrorMessage="1" sqref="E20" xr:uid="{EE08EE04-52B4-4819-A08A-CB44FB6B1A5E}">
      <formula1>"Yes-Blue,Yes-Green,No"</formula1>
    </dataValidation>
    <dataValidation type="list" allowBlank="1" showInputMessage="1" showErrorMessage="1" sqref="E50" xr:uid="{6995D340-60E5-4CAF-8116-179ACE6D878A}">
      <formula1>"12,18,24"</formula1>
    </dataValidation>
    <dataValidation type="list" allowBlank="1" showInputMessage="1" showErrorMessage="1" sqref="E48" xr:uid="{87D38DD5-7C08-44BD-8EA0-B9E9888CF1FB}">
      <formula1>"0,6,12,18,24,36"</formula1>
    </dataValidation>
    <dataValidation type="list" allowBlank="1" showInputMessage="1" showErrorMessage="1" sqref="E7" xr:uid="{30E00045-7BEF-4288-9AD6-3BF33ACA26A6}">
      <formula1>"0,1,2,3,4"</formula1>
    </dataValidation>
    <dataValidation type="whole" allowBlank="1" showInputMessage="1" showErrorMessage="1" errorTitle="Exceeds Max Length" error="Values are must be between 8' - 10' - Any number outside of these values will cause an error the the invoice calculation. Overall Frame Length will appear in cell F9." promptTitle="Values Must be Between 8-10" sqref="E9" xr:uid="{61327BAE-CED7-49EF-A89B-3FB9A19E9025}">
      <formula1>7</formula1>
      <formula2>10</formula2>
    </dataValidation>
    <dataValidation type="list" allowBlank="1" showInputMessage="1" showErrorMessage="1" sqref="E21:E22" xr:uid="{C4E068DA-4CD5-45D8-88DA-2690EF9B3DC9}">
      <formula1>"Yes, No"</formula1>
    </dataValidation>
    <dataValidation type="list" allowBlank="1" showInputMessage="1" showErrorMessage="1" sqref="E49" xr:uid="{BDCDEF7E-7E8F-496E-A23F-F207677A7759}">
      <formula1>"0,2,4,6,8,1012,18,24,36"</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4" id="{F350462D-E303-43FE-A204-64AA55AF3875}">
            <xm:f>Discovery!$B$27="No"</xm:f>
            <x14:dxf>
              <fill>
                <patternFill patternType="solid">
                  <bgColor theme="0" tint="-0.34998626667073579"/>
                </patternFill>
              </fill>
            </x14:dxf>
          </x14:cfRule>
          <xm:sqref>F96:F109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53EE-688A-473D-BB11-FE04D52DE2F8}">
  <sheetPr codeName="Sheet6">
    <tabColor rgb="FF92D050"/>
  </sheetPr>
  <dimension ref="A1:AJ331"/>
  <sheetViews>
    <sheetView zoomScale="85" zoomScaleNormal="85" workbookViewId="0">
      <pane xSplit="6" ySplit="4" topLeftCell="K5" activePane="bottomRight" state="frozen"/>
      <selection pane="topRight"/>
      <selection pane="bottomLeft"/>
      <selection pane="bottomRight" activeCell="R20" sqref="R20"/>
    </sheetView>
  </sheetViews>
  <sheetFormatPr defaultColWidth="9.140625" defaultRowHeight="15" customHeight="1"/>
  <cols>
    <col min="2" max="2" width="15.5703125" bestFit="1" customWidth="1"/>
    <col min="3" max="3" width="34.140625" customWidth="1"/>
    <col min="4" max="4" width="75.7109375" customWidth="1"/>
    <col min="5" max="6" width="17.5703125" bestFit="1" customWidth="1"/>
    <col min="7" max="7" width="22" bestFit="1" customWidth="1"/>
    <col min="8" max="8" width="25.28515625" bestFit="1" customWidth="1"/>
    <col min="9" max="9" width="23.140625" bestFit="1" customWidth="1"/>
    <col min="10" max="10" width="16.140625" bestFit="1" customWidth="1"/>
    <col min="11" max="11" width="19.7109375" bestFit="1" customWidth="1"/>
    <col min="12" max="12" width="22.85546875" bestFit="1" customWidth="1"/>
    <col min="13" max="13" width="16.140625" bestFit="1" customWidth="1"/>
    <col min="14" max="14" width="15.7109375" bestFit="1" customWidth="1"/>
    <col min="15" max="16" width="22.85546875" bestFit="1" customWidth="1"/>
    <col min="17" max="17" width="17.42578125" bestFit="1" customWidth="1"/>
    <col min="18" max="18" width="23" bestFit="1" customWidth="1"/>
    <col min="19" max="19" width="19.5703125" bestFit="1" customWidth="1"/>
    <col min="20" max="20" width="13" style="46" bestFit="1" customWidth="1"/>
    <col min="21" max="21" width="14.140625" bestFit="1" customWidth="1"/>
    <col min="22" max="22" width="15.140625" bestFit="1" customWidth="1"/>
    <col min="23" max="24" width="21.140625" bestFit="1" customWidth="1"/>
    <col min="25" max="25" width="15.5703125" bestFit="1" customWidth="1"/>
    <col min="26" max="26" width="21.140625" bestFit="1" customWidth="1"/>
    <col min="27" max="27" width="17" bestFit="1" customWidth="1"/>
  </cols>
  <sheetData>
    <row r="1" spans="1:26">
      <c r="B1" s="100" t="s">
        <v>325</v>
      </c>
      <c r="C1" s="99" t="s">
        <v>247</v>
      </c>
      <c r="H1" s="1"/>
      <c r="I1" s="6"/>
      <c r="J1" s="49"/>
      <c r="K1" s="49"/>
      <c r="M1" s="57"/>
      <c r="S1" s="46"/>
      <c r="T1"/>
      <c r="Y1" s="74"/>
      <c r="Z1" s="74"/>
    </row>
    <row r="2" spans="1:26" ht="14.65" customHeight="1">
      <c r="L2" s="46" t="s">
        <v>326</v>
      </c>
      <c r="M2" s="47">
        <v>1.3</v>
      </c>
      <c r="N2" s="62">
        <f>W5-W8</f>
        <v>10303.969000000005</v>
      </c>
      <c r="S2" s="806" t="s">
        <v>327</v>
      </c>
      <c r="T2" s="806"/>
      <c r="U2" s="806"/>
      <c r="V2" s="806"/>
      <c r="W2" s="806"/>
      <c r="X2" s="806"/>
      <c r="Y2" s="806"/>
      <c r="Z2" s="806"/>
    </row>
    <row r="3" spans="1:26" ht="14.65" customHeight="1">
      <c r="A3" s="851" t="s">
        <v>328</v>
      </c>
      <c r="B3" s="851"/>
      <c r="C3" s="851"/>
      <c r="D3" s="851"/>
      <c r="E3" s="851"/>
      <c r="F3" s="851"/>
      <c r="G3" s="191"/>
      <c r="H3" s="191"/>
      <c r="I3" s="191"/>
      <c r="J3" s="191"/>
      <c r="K3" s="191"/>
      <c r="L3" s="122"/>
      <c r="M3" s="453"/>
      <c r="N3" s="454"/>
      <c r="O3" s="187"/>
      <c r="Q3" s="187"/>
      <c r="R3" s="187"/>
      <c r="S3" s="130"/>
      <c r="T3" s="130"/>
      <c r="U3" s="130"/>
      <c r="V3" s="130"/>
      <c r="W3" s="130"/>
      <c r="X3" s="130"/>
      <c r="Y3" s="130"/>
      <c r="Z3" s="130"/>
    </row>
    <row r="4" spans="1:26" s="1" customFormat="1">
      <c r="A4" s="48" t="s">
        <v>329</v>
      </c>
      <c r="B4" s="48"/>
      <c r="C4" s="48" t="s">
        <v>174</v>
      </c>
      <c r="D4" s="48" t="s">
        <v>175</v>
      </c>
      <c r="E4" s="270" t="s">
        <v>330</v>
      </c>
      <c r="F4" s="48" t="s">
        <v>331</v>
      </c>
      <c r="G4" s="48" t="s">
        <v>332</v>
      </c>
      <c r="H4" s="48" t="s">
        <v>333</v>
      </c>
      <c r="I4" s="48" t="s">
        <v>334</v>
      </c>
      <c r="J4" s="48" t="s">
        <v>335</v>
      </c>
      <c r="K4" s="48" t="s">
        <v>336</v>
      </c>
      <c r="L4" s="48" t="s">
        <v>332</v>
      </c>
      <c r="M4" s="48" t="s">
        <v>335</v>
      </c>
      <c r="N4" s="48" t="s">
        <v>337</v>
      </c>
      <c r="O4" s="271" t="s">
        <v>338</v>
      </c>
      <c r="P4" s="271"/>
      <c r="R4" s="357" t="s">
        <v>339</v>
      </c>
      <c r="S4" s="446" t="s">
        <v>288</v>
      </c>
      <c r="T4" s="446" t="s">
        <v>340</v>
      </c>
      <c r="U4" s="446" t="s">
        <v>341</v>
      </c>
      <c r="V4" s="130" t="s">
        <v>342</v>
      </c>
      <c r="W4" s="130" t="s">
        <v>172</v>
      </c>
      <c r="X4" s="358" t="s">
        <v>343</v>
      </c>
      <c r="Y4" s="358" t="s">
        <v>344</v>
      </c>
      <c r="Z4" s="130" t="s">
        <v>345</v>
      </c>
    </row>
    <row r="5" spans="1:26">
      <c r="B5" t="str">
        <f t="shared" ref="B5:B10" si="0">IF(F5&gt;=1,C5,"")</f>
        <v>A-2245</v>
      </c>
      <c r="C5" s="100" t="s">
        <v>178</v>
      </c>
      <c r="D5" s="100" t="s">
        <v>346</v>
      </c>
      <c r="E5">
        <f>VLOOKUP(C5,VLOOKUP!H:R,11,FALSE)</f>
        <v>2</v>
      </c>
      <c r="F5">
        <f>E5</f>
        <v>2</v>
      </c>
      <c r="G5" s="13">
        <f>VLOOKUP(C5,lists!I:L,4,FALSE)</f>
        <v>242.5</v>
      </c>
      <c r="H5" s="13">
        <f t="shared" ref="H5:H102" si="1">G5*(1+$M$1)</f>
        <v>242.5</v>
      </c>
      <c r="I5" s="102">
        <f t="shared" ref="I5:I22" si="2">F5*O5</f>
        <v>136.5</v>
      </c>
      <c r="J5" s="13">
        <f t="shared" ref="J5:J6" si="3">F5*G5</f>
        <v>485</v>
      </c>
      <c r="K5" s="13">
        <f t="shared" ref="K5:K68" si="4">J5*(1+$M$1)</f>
        <v>485</v>
      </c>
      <c r="L5" s="13">
        <f>ROUND(H5*(1+$M$2),2)</f>
        <v>557.75</v>
      </c>
      <c r="M5" s="13">
        <f>F5*L5</f>
        <v>1115.5</v>
      </c>
      <c r="N5" s="321">
        <f t="shared" ref="N5:N22" si="5">IFERROR((M5/K5)-1,"")</f>
        <v>1.2999999999999998</v>
      </c>
      <c r="O5" s="119">
        <v>68.25</v>
      </c>
      <c r="P5" s="119"/>
      <c r="Q5" s="46" t="s">
        <v>347</v>
      </c>
      <c r="R5" s="51">
        <f>M36</f>
        <v>8692.85</v>
      </c>
      <c r="S5" s="51">
        <f>SUM(M68:M125)</f>
        <v>3374.08</v>
      </c>
      <c r="T5" s="51">
        <f>M48</f>
        <v>3548.8999999999996</v>
      </c>
      <c r="U5" s="51">
        <f>M176-S5</f>
        <v>2548.3600000000006</v>
      </c>
      <c r="V5" s="51">
        <f>M220</f>
        <v>1777.9499999999998</v>
      </c>
      <c r="W5" s="51">
        <f>SUM(R5:V5)</f>
        <v>19942.140000000003</v>
      </c>
      <c r="X5" s="137">
        <f>W5-R19</f>
        <v>16275.840000000004</v>
      </c>
      <c r="Y5" s="137">
        <f>Y8*2</f>
        <v>19276.341999999997</v>
      </c>
      <c r="Z5" s="51">
        <f>IF('Adventure Series Proposal (USA)'!H235="TBD",0)</f>
        <v>0</v>
      </c>
    </row>
    <row r="6" spans="1:26">
      <c r="B6" t="str">
        <f t="shared" si="0"/>
        <v>A-2246</v>
      </c>
      <c r="C6" s="100" t="s">
        <v>181</v>
      </c>
      <c r="D6" s="100" t="s">
        <v>348</v>
      </c>
      <c r="E6">
        <f>VLOOKUP(C6,VLOOKUP!H:R,11,FALSE)</f>
        <v>2</v>
      </c>
      <c r="F6">
        <f>E6</f>
        <v>2</v>
      </c>
      <c r="G6" s="13">
        <f>VLOOKUP(C6,lists!I:L,4,FALSE)</f>
        <v>242.5</v>
      </c>
      <c r="H6" s="13">
        <f t="shared" si="1"/>
        <v>242.5</v>
      </c>
      <c r="I6" s="102">
        <f t="shared" si="2"/>
        <v>134.58000000000001</v>
      </c>
      <c r="J6" s="13">
        <f t="shared" si="3"/>
        <v>485</v>
      </c>
      <c r="K6" s="13">
        <f t="shared" si="4"/>
        <v>485</v>
      </c>
      <c r="L6" s="13">
        <f t="shared" ref="L6:L35" si="6">ROUND(H6*(1+$M$2),2)</f>
        <v>557.75</v>
      </c>
      <c r="M6" s="13">
        <f t="shared" ref="M6:M22" si="7">F6*L6</f>
        <v>1115.5</v>
      </c>
      <c r="N6" s="321">
        <f t="shared" si="5"/>
        <v>1.2999999999999998</v>
      </c>
      <c r="O6" s="119">
        <v>67.290000000000006</v>
      </c>
      <c r="P6" s="119"/>
      <c r="Q6" s="46"/>
      <c r="S6" s="51"/>
      <c r="T6" s="51"/>
      <c r="U6" s="51"/>
      <c r="V6" s="51"/>
      <c r="W6" s="51"/>
      <c r="X6" s="137"/>
      <c r="Y6" s="133"/>
      <c r="Z6" s="51"/>
    </row>
    <row r="7" spans="1:26">
      <c r="B7" t="str">
        <f t="shared" si="0"/>
        <v/>
      </c>
      <c r="C7" s="100" t="s">
        <v>184</v>
      </c>
      <c r="D7" s="100" t="s">
        <v>349</v>
      </c>
      <c r="E7" t="str">
        <f>IF(VLOOKUP!E3="T Shape",2,"")</f>
        <v/>
      </c>
      <c r="G7" s="13">
        <f>VLOOKUP(C7,lists!I:L,4,FALSE)</f>
        <v>73</v>
      </c>
      <c r="H7" s="13">
        <f t="shared" si="1"/>
        <v>73</v>
      </c>
      <c r="I7" s="102">
        <f t="shared" si="2"/>
        <v>0</v>
      </c>
      <c r="J7" s="13">
        <f t="shared" ref="J7:J47" si="8">F7*G7</f>
        <v>0</v>
      </c>
      <c r="K7" s="13">
        <f t="shared" si="4"/>
        <v>0</v>
      </c>
      <c r="L7" s="13">
        <f t="shared" si="6"/>
        <v>167.9</v>
      </c>
      <c r="M7" s="13">
        <f t="shared" si="7"/>
        <v>0</v>
      </c>
      <c r="N7" s="321" t="str">
        <f t="shared" si="5"/>
        <v/>
      </c>
      <c r="O7" s="119">
        <v>11.885999999999999</v>
      </c>
      <c r="P7" s="119"/>
      <c r="Q7" s="124" t="s">
        <v>350</v>
      </c>
      <c r="R7" s="125">
        <f>R5/$W$5</f>
        <v>0.43590356902518984</v>
      </c>
      <c r="S7" s="125">
        <f>S5/$W$5</f>
        <v>0.16919347672817459</v>
      </c>
      <c r="T7" s="125">
        <f t="shared" ref="T7:W7" si="9">T5/$W$5</f>
        <v>0.17795983781078656</v>
      </c>
      <c r="U7" s="125">
        <f t="shared" si="9"/>
        <v>0.1277876897865525</v>
      </c>
      <c r="V7" s="125">
        <f t="shared" si="9"/>
        <v>8.915542664929639E-2</v>
      </c>
      <c r="W7" s="125">
        <f t="shared" si="9"/>
        <v>1</v>
      </c>
      <c r="X7" s="74"/>
      <c r="Y7" s="74"/>
    </row>
    <row r="8" spans="1:26">
      <c r="B8" t="str">
        <f t="shared" si="0"/>
        <v>A-2242</v>
      </c>
      <c r="C8" s="100" t="s">
        <v>187</v>
      </c>
      <c r="D8" s="100" t="s">
        <v>351</v>
      </c>
      <c r="E8">
        <f>VLOOKUP(C8,VLOOKUP!H:R,11,FALSE)</f>
        <v>4</v>
      </c>
      <c r="F8">
        <f>E8</f>
        <v>4</v>
      </c>
      <c r="G8" s="13">
        <f>VLOOKUP(C8,lists!I:L,4,FALSE)</f>
        <v>76.5</v>
      </c>
      <c r="H8" s="13">
        <f t="shared" si="1"/>
        <v>76.5</v>
      </c>
      <c r="I8" s="102">
        <f t="shared" si="2"/>
        <v>59.728000000000002</v>
      </c>
      <c r="J8" s="13">
        <f t="shared" si="8"/>
        <v>306</v>
      </c>
      <c r="K8" s="13">
        <f t="shared" si="4"/>
        <v>306</v>
      </c>
      <c r="L8" s="13">
        <f t="shared" si="6"/>
        <v>175.95</v>
      </c>
      <c r="M8" s="13">
        <f t="shared" si="7"/>
        <v>703.8</v>
      </c>
      <c r="N8" s="321">
        <f t="shared" si="5"/>
        <v>1.2999999999999998</v>
      </c>
      <c r="O8" s="119">
        <v>14.932</v>
      </c>
      <c r="P8" s="119"/>
      <c r="Q8" s="46" t="s">
        <v>352</v>
      </c>
      <c r="R8" s="51">
        <f>K36</f>
        <v>3779.5</v>
      </c>
      <c r="S8" s="51">
        <f>SUM(J68:J125)</f>
        <v>2332.9</v>
      </c>
      <c r="T8" s="51">
        <f>K48</f>
        <v>1543</v>
      </c>
      <c r="U8" s="51">
        <f>K176-S8</f>
        <v>1107.98</v>
      </c>
      <c r="V8" s="51">
        <f>K220</f>
        <v>874.79099999999994</v>
      </c>
      <c r="W8" s="51">
        <f>SUM(R8:V8)</f>
        <v>9638.1709999999985</v>
      </c>
      <c r="X8" s="137">
        <f>W8</f>
        <v>9638.1709999999985</v>
      </c>
      <c r="Y8" s="137">
        <f>W8</f>
        <v>9638.1709999999985</v>
      </c>
      <c r="Z8" s="51">
        <f>Z5</f>
        <v>0</v>
      </c>
    </row>
    <row r="9" spans="1:26">
      <c r="B9" t="str">
        <f t="shared" si="0"/>
        <v/>
      </c>
      <c r="C9" s="100" t="s">
        <v>190</v>
      </c>
      <c r="D9" s="100" t="s">
        <v>353</v>
      </c>
      <c r="E9">
        <f>VLOOKUP(C9,VLOOKUP!H:R,11,FALSE)</f>
        <v>0</v>
      </c>
      <c r="F9">
        <f>E9</f>
        <v>0</v>
      </c>
      <c r="G9" s="13">
        <f>VLOOKUP(C9,lists!I:L,4,FALSE)</f>
        <v>97</v>
      </c>
      <c r="H9" s="13">
        <f t="shared" si="1"/>
        <v>97</v>
      </c>
      <c r="I9" s="102">
        <f t="shared" si="2"/>
        <v>0</v>
      </c>
      <c r="J9" s="13">
        <f t="shared" si="8"/>
        <v>0</v>
      </c>
      <c r="K9" s="13">
        <f t="shared" si="4"/>
        <v>0</v>
      </c>
      <c r="L9" s="13">
        <f t="shared" si="6"/>
        <v>223.1</v>
      </c>
      <c r="M9" s="13">
        <f t="shared" si="7"/>
        <v>0</v>
      </c>
      <c r="N9" s="321" t="str">
        <f t="shared" si="5"/>
        <v/>
      </c>
      <c r="O9" s="119">
        <v>17.978999999999999</v>
      </c>
      <c r="P9" s="119"/>
      <c r="Q9" s="175" t="s">
        <v>354</v>
      </c>
      <c r="R9" s="176">
        <f>R8/$W$8</f>
        <v>0.39213871594517263</v>
      </c>
      <c r="S9" s="176">
        <f>S8/$W$8</f>
        <v>0.24204799852586145</v>
      </c>
      <c r="T9" s="176">
        <f t="shared" ref="T9:W9" si="10">T8/$W$8</f>
        <v>0.16009261508225991</v>
      </c>
      <c r="U9" s="176">
        <f t="shared" si="10"/>
        <v>0.11495749556632687</v>
      </c>
      <c r="V9" s="176">
        <f t="shared" si="10"/>
        <v>9.0763174880379285E-2</v>
      </c>
      <c r="W9" s="176">
        <f t="shared" si="10"/>
        <v>1</v>
      </c>
      <c r="X9" s="177"/>
      <c r="Y9" s="177"/>
      <c r="Z9" s="177"/>
    </row>
    <row r="10" spans="1:26">
      <c r="B10" t="str">
        <f t="shared" si="0"/>
        <v/>
      </c>
      <c r="C10" s="100" t="s">
        <v>192</v>
      </c>
      <c r="D10" s="100" t="s">
        <v>355</v>
      </c>
      <c r="E10">
        <f>VLOOKUP(C10,VLOOKUP!H:R,11,FALSE)</f>
        <v>0</v>
      </c>
      <c r="F10">
        <f>E10</f>
        <v>0</v>
      </c>
      <c r="G10" s="13">
        <f>VLOOKUP(C10,lists!I:L,4,FALSE)</f>
        <v>101</v>
      </c>
      <c r="H10" s="13">
        <f t="shared" si="1"/>
        <v>101</v>
      </c>
      <c r="I10" s="102">
        <f t="shared" si="2"/>
        <v>0</v>
      </c>
      <c r="J10" s="13">
        <f t="shared" si="8"/>
        <v>0</v>
      </c>
      <c r="K10" s="13">
        <f t="shared" si="4"/>
        <v>0</v>
      </c>
      <c r="L10" s="13">
        <f t="shared" si="6"/>
        <v>232.3</v>
      </c>
      <c r="M10" s="13">
        <f t="shared" si="7"/>
        <v>0</v>
      </c>
      <c r="N10" s="321" t="str">
        <f t="shared" si="5"/>
        <v/>
      </c>
      <c r="O10" s="119">
        <v>21.024999999999999</v>
      </c>
      <c r="P10" s="119"/>
      <c r="Q10" s="174" t="s">
        <v>356</v>
      </c>
      <c r="R10" s="310">
        <f>R5/R8</f>
        <v>2.3000000000000003</v>
      </c>
      <c r="S10" s="310">
        <f>S5/S8</f>
        <v>1.4463028848214667</v>
      </c>
      <c r="T10" s="310">
        <f>IFERROR(T5/T8,0)</f>
        <v>2.2999999999999998</v>
      </c>
      <c r="U10" s="310">
        <f t="shared" ref="U10:V10" si="11">U5/U8</f>
        <v>2.3000054152602036</v>
      </c>
      <c r="V10" s="310">
        <f t="shared" si="11"/>
        <v>2.0324283171637569</v>
      </c>
      <c r="W10" s="178">
        <f>W5-W8</f>
        <v>10303.969000000005</v>
      </c>
      <c r="X10" s="178">
        <f t="shared" ref="X10:Z10" si="12">X5-X8</f>
        <v>6637.6690000000053</v>
      </c>
      <c r="Y10" s="178">
        <f t="shared" si="12"/>
        <v>9638.1709999999985</v>
      </c>
      <c r="Z10" s="178">
        <f t="shared" si="12"/>
        <v>0</v>
      </c>
    </row>
    <row r="11" spans="1:26">
      <c r="C11" s="100" t="s">
        <v>357</v>
      </c>
      <c r="D11" s="100" t="s">
        <v>358</v>
      </c>
      <c r="G11" s="13">
        <v>72.5</v>
      </c>
      <c r="H11" s="13">
        <f t="shared" ref="H11" si="13">G11*(1+$M$1)</f>
        <v>72.5</v>
      </c>
      <c r="I11" s="102">
        <f t="shared" si="2"/>
        <v>0</v>
      </c>
      <c r="J11" s="13">
        <f t="shared" ref="J11" si="14">F11*G11</f>
        <v>0</v>
      </c>
      <c r="K11" s="13">
        <f t="shared" ref="K11" si="15">J11*(1+$M$1)</f>
        <v>0</v>
      </c>
      <c r="L11" s="13">
        <f t="shared" ref="L11" si="16">ROUND(H11*(1+$M$2),2)</f>
        <v>166.75</v>
      </c>
      <c r="M11" s="13">
        <f t="shared" si="7"/>
        <v>0</v>
      </c>
      <c r="N11" s="321" t="str">
        <f t="shared" si="5"/>
        <v/>
      </c>
      <c r="O11" s="119">
        <v>14.932</v>
      </c>
      <c r="P11" s="119"/>
      <c r="Q11" s="136" t="s">
        <v>359</v>
      </c>
      <c r="S11" s="74"/>
      <c r="T11" s="74"/>
      <c r="U11" s="74"/>
      <c r="V11" s="74"/>
      <c r="W11" s="134">
        <f>(W5/W8)-1</f>
        <v>1.0690792890061824</v>
      </c>
      <c r="X11" s="134">
        <f>(X5/X8)-1</f>
        <v>0.68868554002621507</v>
      </c>
      <c r="Y11" s="134">
        <f>(Y5/Y8)-1</f>
        <v>1</v>
      </c>
      <c r="Z11" s="134" t="e">
        <f>(Z5/Z8)-1</f>
        <v>#DIV/0!</v>
      </c>
    </row>
    <row r="12" spans="1:26">
      <c r="B12" t="str">
        <f t="shared" ref="B12:B34" si="17">IF(F12&gt;=1,C12,"")</f>
        <v>A-2225</v>
      </c>
      <c r="C12" s="100" t="s">
        <v>194</v>
      </c>
      <c r="D12" s="100" t="s">
        <v>360</v>
      </c>
      <c r="E12">
        <f>VLOOKUP(C12,VLOOKUP!H:R,11,FALSE)</f>
        <v>4</v>
      </c>
      <c r="F12">
        <f>E12</f>
        <v>4</v>
      </c>
      <c r="G12" s="13">
        <f>VLOOKUP(C12,lists!I:L,4,FALSE)</f>
        <v>46</v>
      </c>
      <c r="H12" s="13">
        <f t="shared" si="1"/>
        <v>46</v>
      </c>
      <c r="I12" s="102">
        <f t="shared" si="2"/>
        <v>25.84</v>
      </c>
      <c r="J12" s="13">
        <f t="shared" si="8"/>
        <v>184</v>
      </c>
      <c r="K12" s="13">
        <f t="shared" si="4"/>
        <v>184</v>
      </c>
      <c r="L12" s="13">
        <f t="shared" si="6"/>
        <v>105.8</v>
      </c>
      <c r="M12" s="13">
        <f t="shared" si="7"/>
        <v>423.2</v>
      </c>
      <c r="N12" s="321">
        <f t="shared" si="5"/>
        <v>1.2999999999999998</v>
      </c>
      <c r="O12" s="119">
        <v>6.46</v>
      </c>
      <c r="P12" s="119"/>
      <c r="Q12" s="136" t="s">
        <v>361</v>
      </c>
      <c r="S12" s="74"/>
      <c r="T12" s="74"/>
      <c r="U12" s="74"/>
      <c r="V12" s="74"/>
      <c r="W12" s="134">
        <f>1-(W8/W5)</f>
        <v>0.51669324355360069</v>
      </c>
      <c r="X12" s="134">
        <f>1-(X8/X5)</f>
        <v>0.40782343645550734</v>
      </c>
      <c r="Y12" s="134">
        <f>1-(Y8/Y5)</f>
        <v>0.5</v>
      </c>
      <c r="Z12" s="134" t="e">
        <f>1-(Z8/Z5)</f>
        <v>#DIV/0!</v>
      </c>
    </row>
    <row r="13" spans="1:26">
      <c r="B13" t="str">
        <f t="shared" si="17"/>
        <v>P-2531</v>
      </c>
      <c r="C13" s="100" t="s">
        <v>196</v>
      </c>
      <c r="D13" s="100" t="s">
        <v>362</v>
      </c>
      <c r="E13" s="438">
        <f>F13</f>
        <v>2</v>
      </c>
      <c r="F13" s="438">
        <f>IF(VLOOKUP!E7&gt;0,VLOOKUP!E7,0)</f>
        <v>2</v>
      </c>
      <c r="G13" s="13">
        <f>VLOOKUP(C13,lists!I:L,4,FALSE)</f>
        <v>97.5</v>
      </c>
      <c r="H13" s="13">
        <f t="shared" si="1"/>
        <v>97.5</v>
      </c>
      <c r="I13" s="102">
        <f t="shared" si="2"/>
        <v>61.82</v>
      </c>
      <c r="J13" s="13">
        <f>F13*G13</f>
        <v>195</v>
      </c>
      <c r="K13" s="13">
        <f t="shared" si="4"/>
        <v>195</v>
      </c>
      <c r="L13" s="13">
        <f t="shared" si="6"/>
        <v>224.25</v>
      </c>
      <c r="M13" s="13">
        <f t="shared" si="7"/>
        <v>448.5</v>
      </c>
      <c r="N13" s="321">
        <f t="shared" si="5"/>
        <v>1.2999999999999998</v>
      </c>
      <c r="O13" s="119">
        <v>30.91</v>
      </c>
      <c r="P13" s="119"/>
      <c r="Q13" s="46" t="s">
        <v>363</v>
      </c>
      <c r="S13" s="51"/>
      <c r="T13" s="51"/>
      <c r="U13" s="51"/>
      <c r="V13" s="46"/>
      <c r="W13" s="314">
        <f>W12-0.5</f>
        <v>1.669324355360069E-2</v>
      </c>
      <c r="X13" s="314">
        <f t="shared" ref="X13:Y13" si="18">X12-0.5</f>
        <v>-9.2176563544492662E-2</v>
      </c>
      <c r="Y13" s="314">
        <f t="shared" si="18"/>
        <v>0</v>
      </c>
    </row>
    <row r="14" spans="1:26">
      <c r="B14" t="str">
        <f t="shared" si="17"/>
        <v>A-2253</v>
      </c>
      <c r="C14" s="100" t="s">
        <v>198</v>
      </c>
      <c r="D14" s="100" t="s">
        <v>364</v>
      </c>
      <c r="E14">
        <f>VLOOKUP(C14,VLOOKUP!H:R,11,FALSE)</f>
        <v>2</v>
      </c>
      <c r="F14">
        <f>E14</f>
        <v>2</v>
      </c>
      <c r="G14" s="13">
        <f>VLOOKUP(C14,lists!I:L,4,FALSE)</f>
        <v>65.5</v>
      </c>
      <c r="H14" s="13">
        <f t="shared" si="1"/>
        <v>65.5</v>
      </c>
      <c r="I14" s="102">
        <f t="shared" si="2"/>
        <v>8.98</v>
      </c>
      <c r="J14" s="13">
        <f t="shared" si="8"/>
        <v>131</v>
      </c>
      <c r="K14" s="13">
        <f t="shared" si="4"/>
        <v>131</v>
      </c>
      <c r="L14" s="13">
        <f t="shared" si="6"/>
        <v>150.65</v>
      </c>
      <c r="M14" s="13">
        <f t="shared" si="7"/>
        <v>301.3</v>
      </c>
      <c r="N14" s="321">
        <f t="shared" si="5"/>
        <v>1.3000000000000003</v>
      </c>
      <c r="O14" s="119">
        <v>4.49</v>
      </c>
      <c r="P14" s="119"/>
      <c r="R14" s="46"/>
      <c r="S14" s="51"/>
      <c r="T14" s="51"/>
      <c r="U14" s="51"/>
      <c r="V14" s="46"/>
      <c r="W14" s="850" t="s">
        <v>365</v>
      </c>
      <c r="X14" s="850"/>
      <c r="Y14" s="427">
        <f>X10-Y10</f>
        <v>-3000.5019999999931</v>
      </c>
    </row>
    <row r="15" spans="1:26">
      <c r="B15" t="str">
        <f t="shared" si="17"/>
        <v/>
      </c>
      <c r="C15" s="100" t="s">
        <v>200</v>
      </c>
      <c r="D15" s="100" t="s">
        <v>366</v>
      </c>
      <c r="E15">
        <f>VLOOKUP(C15,VLOOKUP!H:R,11,FALSE)</f>
        <v>0</v>
      </c>
      <c r="F15">
        <f>E15</f>
        <v>0</v>
      </c>
      <c r="G15" s="13">
        <f>VLOOKUP(C15,lists!I:L,4,FALSE)</f>
        <v>79</v>
      </c>
      <c r="H15" s="13">
        <f t="shared" si="1"/>
        <v>79</v>
      </c>
      <c r="I15" s="102">
        <f t="shared" si="2"/>
        <v>0</v>
      </c>
      <c r="J15" s="13">
        <f t="shared" si="8"/>
        <v>0</v>
      </c>
      <c r="K15" s="13">
        <f t="shared" si="4"/>
        <v>0</v>
      </c>
      <c r="L15" s="13">
        <f t="shared" si="6"/>
        <v>181.7</v>
      </c>
      <c r="M15" s="13">
        <f t="shared" si="7"/>
        <v>0</v>
      </c>
      <c r="N15" s="321" t="str">
        <f t="shared" si="5"/>
        <v/>
      </c>
      <c r="O15" s="119">
        <v>10.51</v>
      </c>
      <c r="P15" s="119"/>
      <c r="R15" s="46"/>
      <c r="S15" s="51"/>
      <c r="T15" s="51"/>
      <c r="U15" s="51"/>
      <c r="V15" s="46"/>
      <c r="W15" s="850" t="s">
        <v>367</v>
      </c>
      <c r="X15" s="850"/>
      <c r="Y15" s="486">
        <f>X11-Y11</f>
        <v>-0.31131445997378493</v>
      </c>
    </row>
    <row r="16" spans="1:26">
      <c r="B16" t="str">
        <f t="shared" si="17"/>
        <v/>
      </c>
      <c r="C16" s="100" t="s">
        <v>201</v>
      </c>
      <c r="D16" s="100" t="s">
        <v>368</v>
      </c>
      <c r="E16">
        <f>VLOOKUP(C16,VLOOKUP!H:R,11,FALSE)</f>
        <v>0</v>
      </c>
      <c r="F16">
        <f>E16</f>
        <v>0</v>
      </c>
      <c r="G16" s="13">
        <f>VLOOKUP(C16,lists!I:L,4,FALSE)</f>
        <v>150</v>
      </c>
      <c r="H16" s="13">
        <f t="shared" ref="H16" si="19">G16*(1+$M$1)</f>
        <v>150</v>
      </c>
      <c r="I16" s="102">
        <f t="shared" ref="I16" si="20">F16*O16</f>
        <v>0</v>
      </c>
      <c r="J16" s="13">
        <f t="shared" ref="J16" si="21">F16*G16</f>
        <v>0</v>
      </c>
      <c r="K16" s="13">
        <f t="shared" ref="K16" si="22">J16*(1+$M$1)</f>
        <v>0</v>
      </c>
      <c r="L16" s="13">
        <f t="shared" ref="L16" si="23">ROUND(H16*(1+$M$2),2)</f>
        <v>345</v>
      </c>
      <c r="M16" s="13">
        <f t="shared" si="7"/>
        <v>0</v>
      </c>
      <c r="N16" s="321" t="str">
        <f t="shared" si="5"/>
        <v/>
      </c>
      <c r="O16" s="119">
        <v>30</v>
      </c>
      <c r="P16" s="119"/>
      <c r="R16" s="46"/>
      <c r="S16" s="51"/>
      <c r="T16" s="51"/>
      <c r="U16" s="51"/>
      <c r="V16" s="46"/>
      <c r="W16" s="616"/>
      <c r="X16" s="616"/>
      <c r="Y16" s="486"/>
    </row>
    <row r="17" spans="2:24" ht="14.25" customHeight="1">
      <c r="B17" t="str">
        <f t="shared" si="17"/>
        <v/>
      </c>
      <c r="C17" s="100" t="s">
        <v>205</v>
      </c>
      <c r="D17" s="100" t="s">
        <v>369</v>
      </c>
      <c r="E17">
        <f>VLOOKUP(C17,VLOOKUP!H:R,11,FALSE)</f>
        <v>0</v>
      </c>
      <c r="F17">
        <f>E17</f>
        <v>0</v>
      </c>
      <c r="G17" s="13">
        <f>VLOOKUP(C17,lists!I:L,4,FALSE)</f>
        <v>150</v>
      </c>
      <c r="H17" s="13">
        <f t="shared" ref="H17" si="24">G17*(1+$M$1)</f>
        <v>150</v>
      </c>
      <c r="I17" s="102">
        <f t="shared" si="2"/>
        <v>0</v>
      </c>
      <c r="J17" s="13">
        <f t="shared" ref="J17" si="25">F17*G17</f>
        <v>0</v>
      </c>
      <c r="K17" s="13">
        <f t="shared" ref="K17" si="26">J17*(1+$M$1)</f>
        <v>0</v>
      </c>
      <c r="L17" s="13">
        <f t="shared" si="6"/>
        <v>345</v>
      </c>
      <c r="M17" s="13">
        <f t="shared" si="7"/>
        <v>0</v>
      </c>
      <c r="N17" s="321" t="str">
        <f t="shared" si="5"/>
        <v/>
      </c>
      <c r="O17" s="119">
        <v>35.799999999999997</v>
      </c>
      <c r="P17" s="119"/>
      <c r="R17" s="46"/>
      <c r="S17" s="51"/>
      <c r="T17" s="51"/>
      <c r="U17" s="51"/>
      <c r="V17" s="46"/>
      <c r="W17" s="46"/>
    </row>
    <row r="18" spans="2:24" ht="14.45" customHeight="1">
      <c r="B18" t="str">
        <f t="shared" si="17"/>
        <v/>
      </c>
      <c r="C18" s="100" t="s">
        <v>207</v>
      </c>
      <c r="D18" s="100" t="s">
        <v>370</v>
      </c>
      <c r="E18">
        <f>VLOOKUP(C18,VLOOKUP!H:R,11,FALSE)</f>
        <v>0</v>
      </c>
      <c r="F18">
        <v>0</v>
      </c>
      <c r="G18" s="13">
        <f>VLOOKUP(C18,lists!I:L,4,FALSE)</f>
        <v>150</v>
      </c>
      <c r="H18" s="13">
        <f t="shared" ref="H18" si="27">G18*(1+$M$1)</f>
        <v>150</v>
      </c>
      <c r="I18" s="102">
        <f t="shared" si="2"/>
        <v>0</v>
      </c>
      <c r="J18" s="13">
        <f t="shared" ref="J18" si="28">F18*G18</f>
        <v>0</v>
      </c>
      <c r="K18" s="13">
        <f t="shared" ref="K18" si="29">J18*(1+$M$1)</f>
        <v>0</v>
      </c>
      <c r="L18" s="13">
        <f t="shared" ref="L18" si="30">ROUND(H18*(1+$M$2),2)</f>
        <v>345</v>
      </c>
      <c r="M18" s="13">
        <f t="shared" si="7"/>
        <v>0</v>
      </c>
      <c r="N18" s="321" t="str">
        <f t="shared" si="5"/>
        <v/>
      </c>
      <c r="O18" s="119">
        <v>42.5</v>
      </c>
      <c r="P18" s="119"/>
      <c r="R18" s="130" t="s">
        <v>371</v>
      </c>
      <c r="S18" s="358" t="s">
        <v>372</v>
      </c>
      <c r="T18" s="429"/>
      <c r="U18" s="357" t="s">
        <v>373</v>
      </c>
      <c r="V18" s="430" t="s">
        <v>374</v>
      </c>
      <c r="W18" s="51"/>
    </row>
    <row r="19" spans="2:24">
      <c r="B19" t="str">
        <f t="shared" si="17"/>
        <v/>
      </c>
      <c r="C19" s="100" t="s">
        <v>210</v>
      </c>
      <c r="D19" s="100" t="s">
        <v>375</v>
      </c>
      <c r="E19">
        <f>VLOOKUP(C19,VLOOKUP!H:R,11,FALSE)</f>
        <v>0</v>
      </c>
      <c r="F19">
        <f>E19</f>
        <v>0</v>
      </c>
      <c r="G19" s="13">
        <f>VLOOKUP(C19,lists!I:L,4,FALSE)</f>
        <v>190</v>
      </c>
      <c r="H19" s="13">
        <f t="shared" si="1"/>
        <v>190</v>
      </c>
      <c r="I19" s="102">
        <f t="shared" si="2"/>
        <v>0</v>
      </c>
      <c r="J19" s="13">
        <f t="shared" si="8"/>
        <v>0</v>
      </c>
      <c r="K19" s="13">
        <f t="shared" si="4"/>
        <v>0</v>
      </c>
      <c r="L19" s="13">
        <f t="shared" si="6"/>
        <v>437</v>
      </c>
      <c r="M19" s="13">
        <f t="shared" si="7"/>
        <v>0</v>
      </c>
      <c r="N19" s="321" t="str">
        <f t="shared" si="5"/>
        <v/>
      </c>
      <c r="O19" s="119">
        <v>49.26</v>
      </c>
      <c r="P19" s="119"/>
      <c r="R19" s="431">
        <v>3666.3</v>
      </c>
      <c r="S19" s="432">
        <f>R19/W5</f>
        <v>0.18384686899199382</v>
      </c>
      <c r="T19" s="432"/>
      <c r="U19" s="467">
        <v>0</v>
      </c>
      <c r="V19" s="433">
        <f>W5*U19</f>
        <v>0</v>
      </c>
      <c r="W19" s="51"/>
    </row>
    <row r="20" spans="2:24">
      <c r="B20" t="str">
        <f t="shared" si="17"/>
        <v/>
      </c>
      <c r="C20" s="100" t="s">
        <v>213</v>
      </c>
      <c r="D20" s="100" t="s">
        <v>376</v>
      </c>
      <c r="E20">
        <f>VLOOKUP(C20,VLOOKUP!H:R,11,FALSE)</f>
        <v>0</v>
      </c>
      <c r="F20">
        <v>0</v>
      </c>
      <c r="G20" s="13">
        <f>VLOOKUP(C20,lists!I:L,4,FALSE)</f>
        <v>200</v>
      </c>
      <c r="H20" s="13">
        <f t="shared" si="1"/>
        <v>200</v>
      </c>
      <c r="I20" s="102">
        <f t="shared" si="2"/>
        <v>0</v>
      </c>
      <c r="J20" s="13">
        <f>F20*G20</f>
        <v>0</v>
      </c>
      <c r="K20" s="13">
        <f t="shared" si="4"/>
        <v>0</v>
      </c>
      <c r="L20" s="13">
        <f t="shared" si="6"/>
        <v>460</v>
      </c>
      <c r="M20" s="13">
        <f t="shared" si="7"/>
        <v>0</v>
      </c>
      <c r="N20" s="321" t="str">
        <f t="shared" si="5"/>
        <v/>
      </c>
      <c r="O20" s="119">
        <v>56.01</v>
      </c>
      <c r="P20" s="119"/>
      <c r="R20" s="46"/>
      <c r="S20" s="51"/>
      <c r="T20" s="51"/>
      <c r="U20" s="51"/>
      <c r="V20" s="138"/>
      <c r="W20" s="51"/>
    </row>
    <row r="21" spans="2:24">
      <c r="B21" t="str">
        <f t="shared" si="17"/>
        <v>A-2410</v>
      </c>
      <c r="C21" s="100" t="s">
        <v>216</v>
      </c>
      <c r="D21" s="100" t="s">
        <v>377</v>
      </c>
      <c r="E21">
        <f>VLOOKUP(C21,VLOOKUP!H:R,11,FALSE)</f>
        <v>4</v>
      </c>
      <c r="F21">
        <f t="shared" ref="F21:F35" si="31">E21</f>
        <v>4</v>
      </c>
      <c r="G21" s="13">
        <f>VLOOKUP(C21,lists!I:L,4,FALSE)</f>
        <v>200</v>
      </c>
      <c r="H21" s="13">
        <f t="shared" si="1"/>
        <v>200</v>
      </c>
      <c r="I21" s="102">
        <f t="shared" si="2"/>
        <v>271.60000000000002</v>
      </c>
      <c r="J21" s="13">
        <f t="shared" si="8"/>
        <v>800</v>
      </c>
      <c r="K21" s="13">
        <f t="shared" si="4"/>
        <v>800</v>
      </c>
      <c r="L21" s="13">
        <f t="shared" si="6"/>
        <v>460</v>
      </c>
      <c r="M21" s="13">
        <f t="shared" si="7"/>
        <v>1840</v>
      </c>
      <c r="N21" s="321">
        <f t="shared" si="5"/>
        <v>1.2999999999999998</v>
      </c>
      <c r="O21" s="119">
        <v>67.900000000000006</v>
      </c>
      <c r="P21" s="119"/>
      <c r="R21" s="122" t="s">
        <v>378</v>
      </c>
      <c r="S21" s="51"/>
      <c r="T21" s="51"/>
      <c r="U21" s="51"/>
      <c r="V21" s="138"/>
      <c r="W21" s="51">
        <v>28277.23</v>
      </c>
      <c r="X21">
        <v>3931.2</v>
      </c>
    </row>
    <row r="22" spans="2:24">
      <c r="B22" t="str">
        <f t="shared" si="17"/>
        <v>P-2330</v>
      </c>
      <c r="C22" s="100" t="s">
        <v>218</v>
      </c>
      <c r="D22" s="100" t="s">
        <v>379</v>
      </c>
      <c r="E22" s="438">
        <f>VLOOKUP(C22,VLOOKUP!H:R,11,FALSE)</f>
        <v>19</v>
      </c>
      <c r="F22" s="438">
        <f t="shared" si="31"/>
        <v>19</v>
      </c>
      <c r="G22" s="13">
        <f>VLOOKUP(C22,lists!I:L,4,FALSE)</f>
        <v>20.5</v>
      </c>
      <c r="H22" s="13">
        <f t="shared" si="1"/>
        <v>20.5</v>
      </c>
      <c r="I22" s="102">
        <f t="shared" si="2"/>
        <v>45.410000000000004</v>
      </c>
      <c r="J22" s="13">
        <f>F22*G22</f>
        <v>389.5</v>
      </c>
      <c r="K22" s="13">
        <f t="shared" si="4"/>
        <v>389.5</v>
      </c>
      <c r="L22" s="13">
        <f t="shared" si="6"/>
        <v>47.15</v>
      </c>
      <c r="M22" s="13">
        <f t="shared" si="7"/>
        <v>895.85</v>
      </c>
      <c r="N22" s="321">
        <f t="shared" si="5"/>
        <v>1.3000000000000003</v>
      </c>
      <c r="O22" s="119">
        <v>2.39</v>
      </c>
      <c r="P22" s="119"/>
      <c r="R22" s="428">
        <f ca="1">TODAY()+6</f>
        <v>46231</v>
      </c>
      <c r="S22" s="51"/>
      <c r="T22" s="51"/>
      <c r="U22" s="51"/>
      <c r="V22" s="138"/>
      <c r="W22" s="51">
        <v>27892.38</v>
      </c>
      <c r="X22">
        <v>3510</v>
      </c>
    </row>
    <row r="23" spans="2:24">
      <c r="B23" t="str">
        <f t="shared" si="17"/>
        <v/>
      </c>
      <c r="C23" s="100" t="s">
        <v>220</v>
      </c>
      <c r="D23" s="100" t="s">
        <v>380</v>
      </c>
      <c r="E23">
        <f>VLOOKUP(C23,VLOOKUP!H:R,11,FALSE)</f>
        <v>0</v>
      </c>
      <c r="F23">
        <f t="shared" si="31"/>
        <v>0</v>
      </c>
      <c r="G23" s="13">
        <f>VLOOKUP(C23,lists!I:L,4,FALSE)</f>
        <v>150</v>
      </c>
      <c r="H23" s="13">
        <f t="shared" si="1"/>
        <v>150</v>
      </c>
      <c r="I23" s="102">
        <f t="shared" ref="I23:I24" si="32">F23*O23</f>
        <v>0</v>
      </c>
      <c r="J23" s="13">
        <f t="shared" ref="J23:J24" si="33">F23*G23</f>
        <v>0</v>
      </c>
      <c r="K23" s="13">
        <f t="shared" si="4"/>
        <v>0</v>
      </c>
      <c r="L23" s="13">
        <f t="shared" ref="L23:L24" si="34">ROUND(H23*(1+$M$2),2)</f>
        <v>345</v>
      </c>
      <c r="M23" s="13">
        <f t="shared" ref="M23:M24" si="35">F23*L23</f>
        <v>0</v>
      </c>
      <c r="N23" s="321" t="str">
        <f t="shared" ref="N23:N26" si="36">IFERROR((M23/K23)-1,"")</f>
        <v/>
      </c>
      <c r="O23" s="119">
        <v>34.85</v>
      </c>
      <c r="P23" s="119"/>
      <c r="R23" s="126"/>
      <c r="S23" s="51"/>
      <c r="T23" s="51"/>
      <c r="U23" s="51"/>
      <c r="V23" s="138"/>
      <c r="W23" s="51">
        <f>W21-W22</f>
        <v>384.84999999999854</v>
      </c>
      <c r="X23" s="51">
        <f>X21-X22</f>
        <v>421.19999999999982</v>
      </c>
    </row>
    <row r="24" spans="2:24">
      <c r="B24" t="str">
        <f t="shared" si="17"/>
        <v/>
      </c>
      <c r="C24" s="100" t="s">
        <v>223</v>
      </c>
      <c r="D24" s="100" t="s">
        <v>381</v>
      </c>
      <c r="E24">
        <f>VLOOKUP(C24,VLOOKUP!H:R,11,FALSE)</f>
        <v>0</v>
      </c>
      <c r="F24">
        <f t="shared" si="31"/>
        <v>0</v>
      </c>
      <c r="G24" s="13">
        <f>VLOOKUP(C24,lists!I:L,4,FALSE)</f>
        <v>150</v>
      </c>
      <c r="H24" s="13">
        <f t="shared" si="1"/>
        <v>150</v>
      </c>
      <c r="I24" s="102">
        <f t="shared" si="32"/>
        <v>0</v>
      </c>
      <c r="J24" s="13">
        <f t="shared" si="33"/>
        <v>0</v>
      </c>
      <c r="K24" s="13">
        <f t="shared" si="4"/>
        <v>0</v>
      </c>
      <c r="L24" s="13">
        <f t="shared" si="34"/>
        <v>345</v>
      </c>
      <c r="M24" s="13">
        <f t="shared" si="35"/>
        <v>0</v>
      </c>
      <c r="N24" s="321" t="str">
        <f t="shared" si="36"/>
        <v/>
      </c>
      <c r="O24" s="119">
        <v>41.41</v>
      </c>
      <c r="P24" s="119"/>
      <c r="R24" s="358" t="s">
        <v>382</v>
      </c>
      <c r="S24" s="358" t="s">
        <v>383</v>
      </c>
      <c r="T24" s="136"/>
      <c r="U24" s="136"/>
      <c r="V24" s="138"/>
      <c r="W24" s="51"/>
    </row>
    <row r="25" spans="2:24">
      <c r="B25" t="str">
        <f t="shared" si="17"/>
        <v/>
      </c>
      <c r="C25" s="100" t="s">
        <v>229</v>
      </c>
      <c r="D25" s="100" t="s">
        <v>384</v>
      </c>
      <c r="E25">
        <f>VLOOKUP(C25,VLOOKUP!H:R,11,FALSE)</f>
        <v>0</v>
      </c>
      <c r="F25">
        <f t="shared" si="31"/>
        <v>0</v>
      </c>
      <c r="G25" s="13">
        <f>VLOOKUP(C25,lists!I:L,4,FALSE)</f>
        <v>190</v>
      </c>
      <c r="H25" s="13">
        <f t="shared" si="1"/>
        <v>190</v>
      </c>
      <c r="I25" s="102">
        <f t="shared" ref="I25:I31" si="37">F25*O25</f>
        <v>0</v>
      </c>
      <c r="J25" s="13">
        <f t="shared" si="8"/>
        <v>0</v>
      </c>
      <c r="K25" s="13">
        <f t="shared" si="4"/>
        <v>0</v>
      </c>
      <c r="L25" s="13">
        <f t="shared" si="6"/>
        <v>437</v>
      </c>
      <c r="M25" s="13">
        <f t="shared" ref="M25:M35" si="38">F25*L25</f>
        <v>0</v>
      </c>
      <c r="N25" s="321" t="str">
        <f t="shared" si="36"/>
        <v/>
      </c>
      <c r="O25" s="119">
        <v>47.97</v>
      </c>
      <c r="P25" s="119"/>
      <c r="Q25" t="s">
        <v>385</v>
      </c>
      <c r="R25" s="330">
        <f>W5-Y5</f>
        <v>665.79800000000614</v>
      </c>
      <c r="S25" s="139">
        <f>(R25/W5)</f>
        <v>3.3386487107201435E-2</v>
      </c>
      <c r="T25" s="134"/>
      <c r="U25" s="134"/>
    </row>
    <row r="26" spans="2:24">
      <c r="B26" t="str">
        <f t="shared" si="17"/>
        <v/>
      </c>
      <c r="C26" s="100" t="s">
        <v>232</v>
      </c>
      <c r="D26" s="100" t="s">
        <v>386</v>
      </c>
      <c r="E26">
        <f>VLOOKUP(C26,VLOOKUP!H:R,11,FALSE)</f>
        <v>0</v>
      </c>
      <c r="F26">
        <f t="shared" si="31"/>
        <v>0</v>
      </c>
      <c r="G26" s="13">
        <f>VLOOKUP(C26,lists!I:L,4,FALSE)</f>
        <v>200</v>
      </c>
      <c r="H26" s="13">
        <f t="shared" si="1"/>
        <v>200</v>
      </c>
      <c r="I26" s="102">
        <f t="shared" si="37"/>
        <v>0</v>
      </c>
      <c r="J26" s="13">
        <f t="shared" si="8"/>
        <v>0</v>
      </c>
      <c r="K26" s="13">
        <f t="shared" si="4"/>
        <v>0</v>
      </c>
      <c r="L26" s="13">
        <f t="shared" si="6"/>
        <v>460</v>
      </c>
      <c r="M26" s="13">
        <f t="shared" si="38"/>
        <v>0</v>
      </c>
      <c r="N26" s="321" t="str">
        <f t="shared" si="36"/>
        <v/>
      </c>
      <c r="O26" s="119">
        <v>54.53</v>
      </c>
      <c r="P26" s="119"/>
      <c r="Q26" s="74" t="s">
        <v>387</v>
      </c>
      <c r="R26" s="331">
        <f>R25*0.75</f>
        <v>499.34850000000461</v>
      </c>
      <c r="S26" s="139">
        <f>R26/W5</f>
        <v>2.5039865330401076E-2</v>
      </c>
      <c r="T26" s="134"/>
      <c r="U26" s="134"/>
    </row>
    <row r="27" spans="2:24">
      <c r="B27" t="str">
        <f t="shared" si="17"/>
        <v>A-2420</v>
      </c>
      <c r="C27" s="100" t="s">
        <v>235</v>
      </c>
      <c r="D27" s="100" t="s">
        <v>388</v>
      </c>
      <c r="E27">
        <f>VLOOKUP(C27,VLOOKUP!H:R,11,FALSE)</f>
        <v>2</v>
      </c>
      <c r="F27">
        <f t="shared" si="31"/>
        <v>2</v>
      </c>
      <c r="G27" s="13">
        <f>VLOOKUP(C27,lists!I:L,4,FALSE)</f>
        <v>200</v>
      </c>
      <c r="H27" s="13">
        <f t="shared" si="1"/>
        <v>200</v>
      </c>
      <c r="I27" s="102">
        <f t="shared" si="37"/>
        <v>132.44</v>
      </c>
      <c r="J27" s="13">
        <f t="shared" si="8"/>
        <v>400</v>
      </c>
      <c r="K27" s="13">
        <f t="shared" si="4"/>
        <v>400</v>
      </c>
      <c r="L27" s="13">
        <f t="shared" si="6"/>
        <v>460</v>
      </c>
      <c r="M27" s="13">
        <f t="shared" si="38"/>
        <v>920</v>
      </c>
      <c r="N27" s="321">
        <f t="shared" ref="N27:N35" si="39">IFERROR((M27/K27)-1,"")</f>
        <v>1.2999999999999998</v>
      </c>
      <c r="O27" s="119">
        <v>66.22</v>
      </c>
      <c r="P27" s="119"/>
      <c r="Q27" s="74" t="s">
        <v>389</v>
      </c>
      <c r="R27" s="331">
        <f>R25*0.5</f>
        <v>332.89900000000307</v>
      </c>
      <c r="S27" s="139">
        <f>R27/W5</f>
        <v>1.6693243553600717E-2</v>
      </c>
      <c r="T27" s="134"/>
      <c r="U27" s="134"/>
    </row>
    <row r="28" spans="2:24">
      <c r="B28" t="str">
        <f t="shared" si="17"/>
        <v/>
      </c>
      <c r="C28" s="100" t="s">
        <v>238</v>
      </c>
      <c r="D28" s="100" t="s">
        <v>390</v>
      </c>
      <c r="E28" s="438">
        <f>IF(VLOOKUP!E17="Yes",2,0)</f>
        <v>0</v>
      </c>
      <c r="F28" s="438">
        <f t="shared" si="31"/>
        <v>0</v>
      </c>
      <c r="G28" s="13">
        <f>VLOOKUP(C28,lists!I:L,4,FALSE)</f>
        <v>20</v>
      </c>
      <c r="H28" s="13">
        <f t="shared" si="1"/>
        <v>20</v>
      </c>
      <c r="I28" s="102">
        <f t="shared" si="37"/>
        <v>0</v>
      </c>
      <c r="J28" s="13">
        <f>F28*G28</f>
        <v>0</v>
      </c>
      <c r="K28" s="13">
        <f t="shared" si="4"/>
        <v>0</v>
      </c>
      <c r="L28" s="13">
        <f>ROUND(H28*(1.5),2)</f>
        <v>30</v>
      </c>
      <c r="M28" s="13">
        <f t="shared" si="38"/>
        <v>0</v>
      </c>
      <c r="N28" s="321" t="str">
        <f t="shared" si="39"/>
        <v/>
      </c>
      <c r="O28" s="119">
        <v>5.63</v>
      </c>
      <c r="P28" s="119"/>
      <c r="Q28" s="74" t="s">
        <v>391</v>
      </c>
      <c r="R28" s="331">
        <f>R25*0.25</f>
        <v>166.44950000000154</v>
      </c>
      <c r="S28" s="139">
        <f>R28/W5</f>
        <v>8.3466217768003587E-3</v>
      </c>
      <c r="T28" s="134"/>
      <c r="U28" s="134"/>
    </row>
    <row r="29" spans="2:24">
      <c r="B29" t="str">
        <f t="shared" si="17"/>
        <v/>
      </c>
      <c r="C29" s="100" t="s">
        <v>392</v>
      </c>
      <c r="D29" s="100" t="s">
        <v>393</v>
      </c>
      <c r="E29" s="438">
        <f>IF(VLOOKUP!E17="Yes",4,0)</f>
        <v>0</v>
      </c>
      <c r="F29" s="438">
        <f t="shared" si="31"/>
        <v>0</v>
      </c>
      <c r="G29" s="13">
        <f>VLOOKUP(C29,lists!I:L,4,FALSE)</f>
        <v>53</v>
      </c>
      <c r="H29" s="13">
        <f t="shared" ref="H29" si="40">G29*(1+$M$1)</f>
        <v>53</v>
      </c>
      <c r="I29" s="186">
        <f t="shared" ref="I29" si="41">F29*O29</f>
        <v>0</v>
      </c>
      <c r="J29" s="185">
        <f>F29*G29</f>
        <v>0</v>
      </c>
      <c r="K29" s="13">
        <f t="shared" ref="K29" si="42">J29*(1+$M$1)</f>
        <v>0</v>
      </c>
      <c r="L29" s="13">
        <f>ROUND(H29*(1.5),2)</f>
        <v>79.5</v>
      </c>
      <c r="M29" s="13">
        <f t="shared" ref="M29" si="43">F29*L29</f>
        <v>0</v>
      </c>
      <c r="N29" s="321" t="str">
        <f t="shared" ref="N29" si="44">IFERROR((M29/K29)-1,"")</f>
        <v/>
      </c>
      <c r="O29" s="119">
        <v>4.5</v>
      </c>
      <c r="P29" s="119"/>
      <c r="Q29" s="74"/>
      <c r="R29" s="331"/>
      <c r="S29" s="139"/>
      <c r="T29" s="134"/>
      <c r="U29" s="134"/>
    </row>
    <row r="30" spans="2:24">
      <c r="B30" t="str">
        <f t="shared" si="17"/>
        <v>P-2124</v>
      </c>
      <c r="C30" s="100" t="s">
        <v>394</v>
      </c>
      <c r="D30" s="100" t="s">
        <v>395</v>
      </c>
      <c r="E30">
        <f>VLOOKUP!E43</f>
        <v>4</v>
      </c>
      <c r="F30">
        <f t="shared" si="31"/>
        <v>4</v>
      </c>
      <c r="G30" s="13">
        <f>VLOOKUP(C30,lists!I:L,4,FALSE)</f>
        <v>51</v>
      </c>
      <c r="H30" s="13">
        <f t="shared" si="1"/>
        <v>51</v>
      </c>
      <c r="I30" s="102">
        <f t="shared" si="37"/>
        <v>19.32</v>
      </c>
      <c r="J30" s="13">
        <f t="shared" si="8"/>
        <v>204</v>
      </c>
      <c r="K30" s="13">
        <f t="shared" si="4"/>
        <v>204</v>
      </c>
      <c r="L30" s="13">
        <f t="shared" si="6"/>
        <v>117.3</v>
      </c>
      <c r="M30" s="13">
        <f t="shared" si="38"/>
        <v>469.2</v>
      </c>
      <c r="N30" s="321">
        <f t="shared" si="39"/>
        <v>1.2999999999999998</v>
      </c>
      <c r="O30" s="119">
        <v>4.83</v>
      </c>
      <c r="P30" s="119"/>
      <c r="R30" s="46"/>
      <c r="T30"/>
    </row>
    <row r="31" spans="2:24">
      <c r="B31" t="str">
        <f t="shared" si="17"/>
        <v>P-2028</v>
      </c>
      <c r="C31" s="100" t="s">
        <v>241</v>
      </c>
      <c r="D31" s="100" t="s">
        <v>396</v>
      </c>
      <c r="E31">
        <f>VLOOKUP(C31,VLOOKUP!H:R,11,FALSE)</f>
        <v>8</v>
      </c>
      <c r="F31">
        <f t="shared" si="31"/>
        <v>8</v>
      </c>
      <c r="G31" s="13">
        <f>VLOOKUP(C31,lists!I:L,4,FALSE)</f>
        <v>25</v>
      </c>
      <c r="H31" s="13">
        <f t="shared" si="1"/>
        <v>25</v>
      </c>
      <c r="I31" s="102">
        <f t="shared" si="37"/>
        <v>22.48</v>
      </c>
      <c r="J31" s="13">
        <f t="shared" si="8"/>
        <v>200</v>
      </c>
      <c r="K31" s="13">
        <f t="shared" si="4"/>
        <v>200</v>
      </c>
      <c r="L31" s="13">
        <f t="shared" si="6"/>
        <v>57.5</v>
      </c>
      <c r="M31" s="13">
        <f t="shared" si="38"/>
        <v>460</v>
      </c>
      <c r="N31" s="321">
        <f t="shared" si="39"/>
        <v>1.2999999999999998</v>
      </c>
      <c r="O31" s="119">
        <v>2.81</v>
      </c>
      <c r="P31" s="119"/>
      <c r="R31" s="46"/>
      <c r="T31"/>
    </row>
    <row r="32" spans="2:24">
      <c r="B32" t="str">
        <f t="shared" si="17"/>
        <v/>
      </c>
      <c r="C32" s="100" t="s">
        <v>397</v>
      </c>
      <c r="D32" s="100" t="s">
        <v>398</v>
      </c>
      <c r="E32">
        <f>IF(VLOOKUP!E26="Yes",1,0)</f>
        <v>0</v>
      </c>
      <c r="F32">
        <f t="shared" si="31"/>
        <v>0</v>
      </c>
      <c r="G32" s="13">
        <f>VLOOKUP(C32,lists!I:L,4,FALSE)</f>
        <v>52</v>
      </c>
      <c r="H32" s="13">
        <f t="shared" ref="H32" si="45">G32*(1+$M$1)</f>
        <v>52</v>
      </c>
      <c r="I32" s="102">
        <f t="shared" ref="I32" si="46">F32*O32</f>
        <v>0</v>
      </c>
      <c r="J32" s="13">
        <f t="shared" ref="J32" si="47">F32*G32</f>
        <v>0</v>
      </c>
      <c r="K32" s="13">
        <f t="shared" ref="K32" si="48">J32*(1+$M$1)</f>
        <v>0</v>
      </c>
      <c r="L32" s="13">
        <f t="shared" ref="L32" si="49">ROUND(H32*(1+$M$2),2)</f>
        <v>119.6</v>
      </c>
      <c r="M32" s="13">
        <f t="shared" ref="M32" si="50">F32*L32</f>
        <v>0</v>
      </c>
      <c r="N32" s="321" t="str">
        <f t="shared" ref="N32" si="51">IFERROR((M32/K32)-1,"")</f>
        <v/>
      </c>
      <c r="O32" s="119">
        <v>24.5</v>
      </c>
      <c r="P32" s="119"/>
      <c r="R32" s="806" t="s">
        <v>399</v>
      </c>
      <c r="S32" s="806"/>
      <c r="T32"/>
    </row>
    <row r="33" spans="1:20" ht="14.25" customHeight="1">
      <c r="B33" t="str">
        <f t="shared" si="17"/>
        <v/>
      </c>
      <c r="C33" s="333" t="s">
        <v>400</v>
      </c>
      <c r="D33" s="100" t="s">
        <v>401</v>
      </c>
      <c r="E33">
        <f>IF(Discovery!C37&gt;8.1,VLOOKUP!E6*2,0)</f>
        <v>0</v>
      </c>
      <c r="F33">
        <f t="shared" si="31"/>
        <v>0</v>
      </c>
      <c r="G33" s="13">
        <f>VLOOKUP(C33,lists!I:L,4,FALSE)</f>
        <v>52</v>
      </c>
      <c r="H33" s="13">
        <f t="shared" si="1"/>
        <v>52</v>
      </c>
      <c r="I33" s="102">
        <v>22</v>
      </c>
      <c r="J33" s="13">
        <f t="shared" ref="J33" si="52">F33*G33</f>
        <v>0</v>
      </c>
      <c r="K33" s="13">
        <f t="shared" ref="K33" si="53">J33*(1+$M$1)</f>
        <v>0</v>
      </c>
      <c r="L33" s="13">
        <f t="shared" ref="L33" si="54">ROUND(H33*(1+$M$2),2)</f>
        <v>119.6</v>
      </c>
      <c r="M33" s="13">
        <f t="shared" si="38"/>
        <v>0</v>
      </c>
      <c r="N33" s="321" t="str">
        <f t="shared" si="39"/>
        <v/>
      </c>
      <c r="O33" s="119">
        <v>22</v>
      </c>
      <c r="P33" s="119"/>
      <c r="R33" s="426">
        <v>0.15</v>
      </c>
      <c r="S33" s="54">
        <f>W5*R33</f>
        <v>2991.3210000000004</v>
      </c>
      <c r="T33"/>
    </row>
    <row r="34" spans="1:20">
      <c r="B34" t="str">
        <f t="shared" si="17"/>
        <v/>
      </c>
      <c r="C34" s="333" t="s">
        <v>402</v>
      </c>
      <c r="D34" s="100" t="s">
        <v>403</v>
      </c>
      <c r="E34">
        <f>IF(VLOOKUP!E35="Yes",VLOOKUP!E7,0)</f>
        <v>0</v>
      </c>
      <c r="F34">
        <f t="shared" si="31"/>
        <v>0</v>
      </c>
      <c r="G34" s="13">
        <f>VLOOKUP(C34,lists!I:L,4,FALSE)</f>
        <v>52</v>
      </c>
      <c r="H34" s="13">
        <f t="shared" ref="H34" si="55">G34*(1+$M$1)</f>
        <v>52</v>
      </c>
      <c r="I34" s="102">
        <v>23</v>
      </c>
      <c r="J34" s="13">
        <f t="shared" ref="J34" si="56">F34*G34</f>
        <v>0</v>
      </c>
      <c r="K34" s="13">
        <f t="shared" ref="K34" si="57">J34*(1+$M$1)</f>
        <v>0</v>
      </c>
      <c r="L34" s="13">
        <f t="shared" ref="L34" si="58">ROUND(H34*(1+$M$2),2)</f>
        <v>119.6</v>
      </c>
      <c r="M34" s="13">
        <f t="shared" ref="M34" si="59">F34*L34</f>
        <v>0</v>
      </c>
      <c r="N34" s="321" t="str">
        <f t="shared" ref="N34" si="60">IFERROR((M34/K34)-1,"")</f>
        <v/>
      </c>
      <c r="O34" s="119">
        <v>22.3</v>
      </c>
      <c r="P34" s="119"/>
      <c r="R34" s="46"/>
      <c r="T34"/>
    </row>
    <row r="35" spans="1:20">
      <c r="B35" t="str">
        <f>IF(F35&gt;=1,C35,"")</f>
        <v/>
      </c>
      <c r="C35" s="100" t="s">
        <v>244</v>
      </c>
      <c r="D35" s="100" t="s">
        <v>404</v>
      </c>
      <c r="E35">
        <f>VLOOKUP(C35,VLOOKUP!H:R,10,FALSE)</f>
        <v>0</v>
      </c>
      <c r="F35">
        <f t="shared" si="31"/>
        <v>0</v>
      </c>
      <c r="G35" s="13">
        <v>155</v>
      </c>
      <c r="H35" s="13">
        <f t="shared" ref="H35" si="61">G35*(1+$M$1)</f>
        <v>155</v>
      </c>
      <c r="I35" s="102">
        <f>F35*O35</f>
        <v>0</v>
      </c>
      <c r="J35" s="13">
        <f t="shared" ref="J35" si="62">F35*G35</f>
        <v>0</v>
      </c>
      <c r="K35" s="13">
        <f t="shared" ref="K35" si="63">J35*(1+$M$1)</f>
        <v>0</v>
      </c>
      <c r="L35" s="13">
        <f t="shared" si="6"/>
        <v>356.5</v>
      </c>
      <c r="M35" s="13">
        <f t="shared" si="38"/>
        <v>0</v>
      </c>
      <c r="N35" s="321" t="str">
        <f t="shared" si="39"/>
        <v/>
      </c>
      <c r="O35" s="119">
        <v>61.1</v>
      </c>
      <c r="P35" s="119"/>
      <c r="R35" s="46"/>
      <c r="T35"/>
    </row>
    <row r="36" spans="1:20">
      <c r="E36" s="46">
        <f>SUM(E5:E35)</f>
        <v>53</v>
      </c>
      <c r="F36" s="46">
        <f>SUM(F5:F35)</f>
        <v>53</v>
      </c>
      <c r="G36" s="185"/>
      <c r="H36" s="185"/>
      <c r="J36" s="308" t="s">
        <v>405</v>
      </c>
      <c r="K36" s="309">
        <f>SUM(J5:J35)</f>
        <v>3779.5</v>
      </c>
      <c r="L36" s="115" t="s">
        <v>405</v>
      </c>
      <c r="M36" s="309">
        <f>SUM(M5:M35)</f>
        <v>8692.85</v>
      </c>
      <c r="O36" s="119"/>
      <c r="P36" s="119"/>
      <c r="R36" s="46"/>
      <c r="T36"/>
    </row>
    <row r="37" spans="1:20">
      <c r="E37" s="46"/>
      <c r="F37" s="46"/>
      <c r="G37" s="185"/>
      <c r="H37" s="185"/>
      <c r="J37" s="308"/>
      <c r="K37" s="309"/>
      <c r="L37" s="115"/>
      <c r="M37" s="309"/>
      <c r="O37" s="119"/>
      <c r="P37" s="119"/>
      <c r="R37" s="46"/>
      <c r="T37"/>
    </row>
    <row r="38" spans="1:20" ht="18.75">
      <c r="A38" s="859" t="s">
        <v>247</v>
      </c>
      <c r="B38" s="859"/>
      <c r="C38" s="859"/>
      <c r="D38" s="859"/>
      <c r="E38" s="859"/>
      <c r="F38" s="859"/>
      <c r="G38" s="187"/>
      <c r="H38" s="187"/>
      <c r="I38" s="187"/>
      <c r="J38" s="187"/>
      <c r="K38" s="187"/>
      <c r="L38" s="187"/>
      <c r="M38" s="187"/>
      <c r="N38" s="187"/>
      <c r="O38" s="187"/>
      <c r="R38" s="46"/>
      <c r="T38"/>
    </row>
    <row r="39" spans="1:20">
      <c r="B39" t="str">
        <f>IF(F39&gt;=1,C39,"")</f>
        <v>P-2018</v>
      </c>
      <c r="C39" s="99" t="s">
        <v>250</v>
      </c>
      <c r="D39" s="99" t="s">
        <v>251</v>
      </c>
      <c r="E39">
        <f>VLOOKUP(C39,VLOOKUP!H:R,11,FALSE)</f>
        <v>1</v>
      </c>
      <c r="F39">
        <f t="shared" ref="F39:F47" si="64">E39</f>
        <v>1</v>
      </c>
      <c r="G39" s="13">
        <f>VLOOKUP(C39,[1]lists!I:L,4,FALSE)</f>
        <v>14</v>
      </c>
      <c r="H39" s="13">
        <f t="shared" si="1"/>
        <v>14</v>
      </c>
      <c r="I39" s="102">
        <f t="shared" ref="I39:I47" si="65">F39*O39</f>
        <v>2.27</v>
      </c>
      <c r="J39" s="13">
        <f>F39*G39</f>
        <v>14</v>
      </c>
      <c r="K39" s="13">
        <f t="shared" si="4"/>
        <v>14</v>
      </c>
      <c r="L39" s="13">
        <f t="shared" ref="L39:L47" si="66">ROUND(H39*(1+$M$2),2)</f>
        <v>32.200000000000003</v>
      </c>
      <c r="M39" s="13">
        <f t="shared" ref="M39:M47" si="67">F39*L39</f>
        <v>32.200000000000003</v>
      </c>
      <c r="N39" s="321">
        <f t="shared" ref="N39:N47" si="68">IFERROR((M39/K39)-1,"")</f>
        <v>1.3000000000000003</v>
      </c>
      <c r="O39" s="119">
        <v>2.27</v>
      </c>
      <c r="P39" s="119"/>
      <c r="R39" s="46"/>
      <c r="T39"/>
    </row>
    <row r="40" spans="1:20">
      <c r="B40" t="str">
        <f>IF(F40&gt;=1,C40,"")</f>
        <v>P-2025</v>
      </c>
      <c r="C40" s="99" t="s">
        <v>253</v>
      </c>
      <c r="D40" s="99" t="s">
        <v>254</v>
      </c>
      <c r="E40">
        <f>VLOOKUP(C40,VLOOKUP!H:R,11,FALSE)</f>
        <v>2</v>
      </c>
      <c r="F40">
        <f t="shared" si="64"/>
        <v>2</v>
      </c>
      <c r="G40" s="13">
        <f>VLOOKUP(C40,[1]lists!I:L,4,FALSE)</f>
        <v>12</v>
      </c>
      <c r="H40" s="13">
        <f t="shared" si="1"/>
        <v>12</v>
      </c>
      <c r="I40" s="102">
        <f t="shared" si="65"/>
        <v>0.59399999999999997</v>
      </c>
      <c r="J40" s="13">
        <f>F40*G40</f>
        <v>24</v>
      </c>
      <c r="K40" s="13">
        <f t="shared" si="4"/>
        <v>24</v>
      </c>
      <c r="L40" s="13">
        <f t="shared" si="66"/>
        <v>27.6</v>
      </c>
      <c r="M40" s="13">
        <f t="shared" si="67"/>
        <v>55.2</v>
      </c>
      <c r="N40" s="321">
        <f t="shared" si="68"/>
        <v>1.3000000000000003</v>
      </c>
      <c r="O40" s="119">
        <v>0.29699999999999999</v>
      </c>
      <c r="P40" s="119"/>
      <c r="R40" s="46"/>
      <c r="T40"/>
    </row>
    <row r="41" spans="1:20">
      <c r="B41" t="str">
        <f>IF(F41&gt;=1,"SSG-TR-A10","")</f>
        <v/>
      </c>
      <c r="C41" s="99" t="s">
        <v>256</v>
      </c>
      <c r="D41" s="99" t="s">
        <v>406</v>
      </c>
      <c r="E41">
        <f>VLOOKUP(C41,VLOOKUP!H:R,11,FALSE)</f>
        <v>0</v>
      </c>
      <c r="F41">
        <f t="shared" si="64"/>
        <v>0</v>
      </c>
      <c r="G41" s="13">
        <f>VLOOKUP(C41,[1]lists!I:M,5,FALSE)</f>
        <v>215.1</v>
      </c>
      <c r="H41" s="13">
        <f t="shared" si="1"/>
        <v>215.1</v>
      </c>
      <c r="I41" s="102">
        <f t="shared" si="65"/>
        <v>0</v>
      </c>
      <c r="J41" s="13">
        <f t="shared" si="8"/>
        <v>0</v>
      </c>
      <c r="K41" s="13">
        <f t="shared" si="4"/>
        <v>0</v>
      </c>
      <c r="L41" s="13">
        <f t="shared" si="66"/>
        <v>494.73</v>
      </c>
      <c r="M41" s="13">
        <f t="shared" si="67"/>
        <v>0</v>
      </c>
      <c r="N41" s="321" t="str">
        <f t="shared" si="68"/>
        <v/>
      </c>
      <c r="O41" s="119">
        <v>26.17</v>
      </c>
      <c r="P41" s="119"/>
      <c r="R41" s="46"/>
      <c r="T41"/>
    </row>
    <row r="42" spans="1:20">
      <c r="B42" t="str">
        <f>IF(F42&gt;=1,"SSG-TR-A09","")</f>
        <v>SSG-TR-A09</v>
      </c>
      <c r="C42" s="99" t="s">
        <v>259</v>
      </c>
      <c r="D42" s="99" t="s">
        <v>407</v>
      </c>
      <c r="E42">
        <f>VLOOKUP(C42,VLOOKUP!H:R,11,FALSE)</f>
        <v>2</v>
      </c>
      <c r="F42">
        <f t="shared" si="64"/>
        <v>2</v>
      </c>
      <c r="G42" s="13">
        <f>VLOOKUP(C42,[1]lists!I:M,5,FALSE)</f>
        <v>193.5</v>
      </c>
      <c r="H42" s="13">
        <f t="shared" si="1"/>
        <v>193.5</v>
      </c>
      <c r="I42" s="102">
        <f t="shared" si="65"/>
        <v>47.12</v>
      </c>
      <c r="J42" s="13">
        <f>F42*G42</f>
        <v>387</v>
      </c>
      <c r="K42" s="13">
        <f t="shared" si="4"/>
        <v>387</v>
      </c>
      <c r="L42" s="13">
        <f t="shared" si="66"/>
        <v>445.05</v>
      </c>
      <c r="M42" s="13">
        <f t="shared" si="67"/>
        <v>890.1</v>
      </c>
      <c r="N42" s="321">
        <f t="shared" si="68"/>
        <v>1.3000000000000003</v>
      </c>
      <c r="O42" s="119">
        <v>23.56</v>
      </c>
      <c r="P42" s="119"/>
      <c r="R42" s="46"/>
      <c r="T42"/>
    </row>
    <row r="43" spans="1:20">
      <c r="B43" t="str">
        <f>IF(F43&gt;=1,"SSG-TR-A08","")</f>
        <v/>
      </c>
      <c r="C43" s="99" t="s">
        <v>262</v>
      </c>
      <c r="D43" s="99" t="s">
        <v>408</v>
      </c>
      <c r="E43">
        <f>VLOOKUP(C43,VLOOKUP!H:R,11,FALSE)</f>
        <v>0</v>
      </c>
      <c r="F43">
        <f t="shared" si="64"/>
        <v>0</v>
      </c>
      <c r="G43" s="13">
        <f>VLOOKUP(C43,[1]lists!I:M,5,FALSE)</f>
        <v>171</v>
      </c>
      <c r="H43" s="13">
        <f t="shared" si="1"/>
        <v>171</v>
      </c>
      <c r="I43" s="102">
        <f t="shared" si="65"/>
        <v>0</v>
      </c>
      <c r="J43" s="13">
        <f>F43*G43</f>
        <v>0</v>
      </c>
      <c r="K43" s="13">
        <f t="shared" si="4"/>
        <v>0</v>
      </c>
      <c r="L43" s="13">
        <f t="shared" si="66"/>
        <v>393.3</v>
      </c>
      <c r="M43" s="13">
        <f t="shared" si="67"/>
        <v>0</v>
      </c>
      <c r="N43" s="321" t="str">
        <f t="shared" si="68"/>
        <v/>
      </c>
      <c r="O43" s="119">
        <v>20.94</v>
      </c>
      <c r="P43" s="119"/>
      <c r="R43" s="46"/>
      <c r="T43"/>
    </row>
    <row r="44" spans="1:20">
      <c r="B44" t="str">
        <f>IF(F44&gt;=1,"SSG-TR-A07","")</f>
        <v/>
      </c>
      <c r="C44" s="99" t="s">
        <v>265</v>
      </c>
      <c r="D44" s="99" t="s">
        <v>409</v>
      </c>
      <c r="E44">
        <f>VLOOKUP(C44,VLOOKUP!H:R,11,FALSE)</f>
        <v>0</v>
      </c>
      <c r="F44">
        <f t="shared" si="64"/>
        <v>0</v>
      </c>
      <c r="G44" s="13">
        <f>VLOOKUP(C44,[1]lists!I:M,5,FALSE)</f>
        <v>151.19999999999999</v>
      </c>
      <c r="H44" s="13">
        <f t="shared" si="1"/>
        <v>151.19999999999999</v>
      </c>
      <c r="I44" s="102">
        <f t="shared" si="65"/>
        <v>0</v>
      </c>
      <c r="J44" s="13">
        <f>F44*G44</f>
        <v>0</v>
      </c>
      <c r="K44" s="13">
        <f t="shared" si="4"/>
        <v>0</v>
      </c>
      <c r="L44" s="13">
        <f t="shared" si="66"/>
        <v>347.76</v>
      </c>
      <c r="M44" s="13">
        <f t="shared" si="67"/>
        <v>0</v>
      </c>
      <c r="N44" s="321" t="str">
        <f t="shared" si="68"/>
        <v/>
      </c>
      <c r="O44" s="119">
        <v>18.32</v>
      </c>
      <c r="P44" s="119"/>
      <c r="R44" s="46"/>
      <c r="T44"/>
    </row>
    <row r="45" spans="1:20">
      <c r="B45" t="str">
        <f>IF(F45&gt;=1,"SSG-TRH","")</f>
        <v>SSG-TRH</v>
      </c>
      <c r="C45" s="99" t="s">
        <v>269</v>
      </c>
      <c r="D45" s="99" t="s">
        <v>270</v>
      </c>
      <c r="E45">
        <f>VLOOKUP(C45,VLOOKUP!H:R,11,FALSE)</f>
        <v>6</v>
      </c>
      <c r="F45">
        <f t="shared" si="64"/>
        <v>6</v>
      </c>
      <c r="G45" s="13">
        <f>VLOOKUP(C45,[1]lists!I:M,5,FALSE)</f>
        <v>113</v>
      </c>
      <c r="H45" s="13">
        <f t="shared" si="1"/>
        <v>113</v>
      </c>
      <c r="I45" s="102">
        <f t="shared" si="65"/>
        <v>12.36</v>
      </c>
      <c r="J45" s="13">
        <f t="shared" si="8"/>
        <v>678</v>
      </c>
      <c r="K45" s="13">
        <f t="shared" si="4"/>
        <v>678</v>
      </c>
      <c r="L45" s="13">
        <f t="shared" si="66"/>
        <v>259.89999999999998</v>
      </c>
      <c r="M45" s="13">
        <f t="shared" si="67"/>
        <v>1559.3999999999999</v>
      </c>
      <c r="N45" s="321">
        <f t="shared" si="68"/>
        <v>1.2999999999999998</v>
      </c>
      <c r="O45" s="119">
        <v>2.06</v>
      </c>
      <c r="P45" s="119"/>
      <c r="R45" s="46"/>
      <c r="T45"/>
    </row>
    <row r="46" spans="1:20">
      <c r="B46" t="str">
        <f>IF(F46&gt;=1,"SSG-TRN","")</f>
        <v>SSG-TRN</v>
      </c>
      <c r="C46" s="99" t="s">
        <v>272</v>
      </c>
      <c r="D46" s="99" t="s">
        <v>410</v>
      </c>
      <c r="E46">
        <f>VLOOKUP(C46,VLOOKUP!H:R,11,FALSE)</f>
        <v>4</v>
      </c>
      <c r="F46">
        <f t="shared" si="64"/>
        <v>4</v>
      </c>
      <c r="G46" s="13">
        <f>VLOOKUP(C46,[1]lists!I:M,5,FALSE)</f>
        <v>57</v>
      </c>
      <c r="H46" s="13">
        <f t="shared" si="1"/>
        <v>57</v>
      </c>
      <c r="I46" s="102">
        <f t="shared" si="65"/>
        <v>7.08</v>
      </c>
      <c r="J46" s="13">
        <f t="shared" si="8"/>
        <v>228</v>
      </c>
      <c r="K46" s="13">
        <f t="shared" si="4"/>
        <v>228</v>
      </c>
      <c r="L46" s="13">
        <f t="shared" si="66"/>
        <v>131.1</v>
      </c>
      <c r="M46" s="13">
        <f t="shared" si="67"/>
        <v>524.4</v>
      </c>
      <c r="N46" s="321">
        <f t="shared" si="68"/>
        <v>1.2999999999999998</v>
      </c>
      <c r="O46" s="119">
        <v>1.77</v>
      </c>
      <c r="P46" s="119"/>
      <c r="R46" s="46"/>
      <c r="T46"/>
    </row>
    <row r="47" spans="1:20">
      <c r="B47" t="str">
        <f>IF(F47&gt;=1,"SSG-TRT","")</f>
        <v>SSG-TRT</v>
      </c>
      <c r="C47" s="99" t="s">
        <v>274</v>
      </c>
      <c r="D47" s="99" t="s">
        <v>411</v>
      </c>
      <c r="E47" s="187">
        <f>VLOOKUP(C47,VLOOKUP!H:R,11,FALSE)</f>
        <v>2</v>
      </c>
      <c r="F47" s="187">
        <f t="shared" si="64"/>
        <v>2</v>
      </c>
      <c r="G47" s="194">
        <f>VLOOKUP(C47,[1]lists!I:M,5,FALSE)</f>
        <v>106</v>
      </c>
      <c r="H47" s="194">
        <f t="shared" si="1"/>
        <v>106</v>
      </c>
      <c r="I47" s="195">
        <f t="shared" si="65"/>
        <v>2.74</v>
      </c>
      <c r="J47" s="194">
        <f t="shared" si="8"/>
        <v>212</v>
      </c>
      <c r="K47" s="194">
        <f t="shared" si="4"/>
        <v>212</v>
      </c>
      <c r="L47" s="194">
        <f t="shared" si="66"/>
        <v>243.8</v>
      </c>
      <c r="M47" s="194">
        <f t="shared" si="67"/>
        <v>487.6</v>
      </c>
      <c r="N47" s="321">
        <f t="shared" si="68"/>
        <v>1.3000000000000003</v>
      </c>
      <c r="O47" s="119">
        <v>1.37</v>
      </c>
      <c r="P47" s="119"/>
      <c r="R47" s="46"/>
      <c r="T47"/>
    </row>
    <row r="48" spans="1:20">
      <c r="E48" s="46">
        <f>SUM(E39:E47)</f>
        <v>17</v>
      </c>
      <c r="F48" s="46">
        <f>SUM(F39:F47)</f>
        <v>17</v>
      </c>
      <c r="G48" s="185"/>
      <c r="H48" s="185"/>
      <c r="J48" s="308" t="s">
        <v>405</v>
      </c>
      <c r="K48" s="309">
        <f>SUM(J39:J47)</f>
        <v>1543</v>
      </c>
      <c r="L48" s="115" t="s">
        <v>405</v>
      </c>
      <c r="M48" s="309">
        <f>SUM(M39:M47)</f>
        <v>3548.8999999999996</v>
      </c>
      <c r="O48" s="119"/>
      <c r="P48" s="119"/>
      <c r="R48" s="46"/>
      <c r="T48"/>
    </row>
    <row r="49" spans="1:20">
      <c r="E49" s="46"/>
      <c r="F49" s="46"/>
      <c r="G49" s="185"/>
      <c r="H49" s="185"/>
      <c r="J49" s="308"/>
      <c r="K49" s="309"/>
      <c r="L49" s="115"/>
      <c r="M49" s="309"/>
      <c r="O49" s="119"/>
      <c r="P49" s="119"/>
      <c r="R49" s="46"/>
      <c r="T49"/>
    </row>
    <row r="50" spans="1:20" ht="18.75">
      <c r="A50" s="851" t="s">
        <v>412</v>
      </c>
      <c r="B50" s="851"/>
      <c r="C50" s="851"/>
      <c r="D50" s="851"/>
      <c r="E50" s="851"/>
      <c r="F50" s="851"/>
      <c r="G50" s="188"/>
      <c r="H50" s="188"/>
      <c r="I50" s="189"/>
      <c r="J50" s="188"/>
      <c r="K50" s="188"/>
      <c r="L50" s="188"/>
      <c r="M50" s="188"/>
      <c r="N50" s="187"/>
      <c r="O50" s="190"/>
      <c r="P50" s="119"/>
      <c r="Q50" s="130" t="s">
        <v>413</v>
      </c>
      <c r="R50" s="122" t="s">
        <v>414</v>
      </c>
      <c r="T50"/>
    </row>
    <row r="51" spans="1:20">
      <c r="B51" t="str">
        <f>IF(F51&gt;=1,C51,"")</f>
        <v/>
      </c>
      <c r="C51" s="292" t="s">
        <v>415</v>
      </c>
      <c r="D51" s="292" t="s">
        <v>416</v>
      </c>
      <c r="E51" t="s">
        <v>417</v>
      </c>
      <c r="F51" s="425">
        <f>IF(VLOOKUP!E20="yes-Blue",1,0)</f>
        <v>0</v>
      </c>
      <c r="G51" s="13">
        <v>252</v>
      </c>
      <c r="H51" s="13">
        <f t="shared" si="1"/>
        <v>252</v>
      </c>
      <c r="I51" s="102">
        <f>F51*O51</f>
        <v>0</v>
      </c>
      <c r="J51" s="13">
        <f>F51*G51</f>
        <v>0</v>
      </c>
      <c r="K51" s="13">
        <f t="shared" si="4"/>
        <v>0</v>
      </c>
      <c r="L51" s="13">
        <f>ROUND(1155,2)</f>
        <v>1155</v>
      </c>
      <c r="M51" s="222">
        <f>F51*L51</f>
        <v>0</v>
      </c>
      <c r="N51" s="57" t="str">
        <f>IFERROR((M51/K51)-1,"")</f>
        <v/>
      </c>
      <c r="O51">
        <v>19</v>
      </c>
      <c r="Q51" s="1"/>
      <c r="R51" s="48"/>
      <c r="T51"/>
    </row>
    <row r="52" spans="1:20">
      <c r="B52" t="str">
        <f>IF(F52&gt;=1,C52,"")</f>
        <v/>
      </c>
      <c r="C52" s="292" t="s">
        <v>415</v>
      </c>
      <c r="D52" s="292" t="s">
        <v>416</v>
      </c>
      <c r="E52" t="s">
        <v>418</v>
      </c>
      <c r="F52" s="425">
        <f>IF(VLOOKUP!E20="yes-Green",1,0)</f>
        <v>0</v>
      </c>
      <c r="G52" s="13">
        <v>252</v>
      </c>
      <c r="H52" s="13">
        <f t="shared" ref="H52" si="69">G52*(1+$M$1)</f>
        <v>252</v>
      </c>
      <c r="I52" s="102">
        <f>F52*O52</f>
        <v>0</v>
      </c>
      <c r="J52" s="13">
        <f t="shared" ref="J52" si="70">F52*G52</f>
        <v>0</v>
      </c>
      <c r="K52" s="13">
        <f t="shared" ref="K52" si="71">J52*(1+$M$1)</f>
        <v>0</v>
      </c>
      <c r="L52" s="13">
        <f>ROUND(L51+G55-G54,2)</f>
        <v>1155</v>
      </c>
      <c r="M52" s="222">
        <f>F52*L52</f>
        <v>0</v>
      </c>
      <c r="N52" s="321" t="str">
        <f>IFERROR((M52/K52)-1,"")</f>
        <v/>
      </c>
      <c r="Q52" s="1"/>
      <c r="R52" s="48"/>
      <c r="T52"/>
    </row>
    <row r="53" spans="1:20">
      <c r="C53" s="292" t="s">
        <v>415</v>
      </c>
      <c r="D53" s="292" t="s">
        <v>416</v>
      </c>
      <c r="F53" s="425"/>
      <c r="G53" s="13"/>
      <c r="H53" s="13"/>
      <c r="I53" s="102"/>
      <c r="J53" s="13"/>
      <c r="K53" s="13"/>
      <c r="L53" s="13"/>
      <c r="M53" s="222"/>
      <c r="N53" s="321"/>
      <c r="Q53" s="1"/>
      <c r="R53" s="48"/>
      <c r="T53"/>
    </row>
    <row r="54" spans="1:20">
      <c r="B54" t="str">
        <f>IF(F54&gt;=1,C54,"")</f>
        <v/>
      </c>
      <c r="C54" s="292" t="s">
        <v>419</v>
      </c>
      <c r="D54" s="292" t="s">
        <v>420</v>
      </c>
      <c r="E54" t="s">
        <v>417</v>
      </c>
      <c r="F54" s="425">
        <f>IF(VLOOKUP!E20="yes-Blue",1,0)</f>
        <v>0</v>
      </c>
      <c r="G54" s="13">
        <v>136</v>
      </c>
      <c r="H54" s="13">
        <f t="shared" ref="H54" si="72">G54*(1+$M$1)</f>
        <v>136</v>
      </c>
      <c r="I54" s="102">
        <f>F54*O54</f>
        <v>0</v>
      </c>
      <c r="J54" s="13">
        <f t="shared" ref="J54" si="73">F54*G54</f>
        <v>0</v>
      </c>
      <c r="K54" s="13">
        <f t="shared" ref="K54" si="74">J54*(1+$M$1)</f>
        <v>0</v>
      </c>
      <c r="L54" s="13">
        <f>L51</f>
        <v>1155</v>
      </c>
      <c r="M54" s="222"/>
      <c r="N54" s="321" t="str">
        <f>IFERROR((M54/K54)-1,"")</f>
        <v/>
      </c>
      <c r="Q54" s="1" t="s">
        <v>421</v>
      </c>
      <c r="R54" s="1" t="s">
        <v>422</v>
      </c>
      <c r="T54"/>
    </row>
    <row r="55" spans="1:20">
      <c r="B55" t="str">
        <f t="shared" ref="B55:B58" si="75">IF(F55&gt;=1,C55,"")</f>
        <v/>
      </c>
      <c r="C55" s="292" t="s">
        <v>423</v>
      </c>
      <c r="D55" s="292" t="s">
        <v>420</v>
      </c>
      <c r="E55" t="s">
        <v>418</v>
      </c>
      <c r="F55" s="425">
        <f>IF(VLOOKUP!E20="yes-Green",1,0)</f>
        <v>0</v>
      </c>
      <c r="G55" s="13">
        <v>136</v>
      </c>
      <c r="H55" s="13">
        <f t="shared" ref="H55:H58" si="76">G55*(1+$M$1)</f>
        <v>136</v>
      </c>
      <c r="I55" s="102">
        <f>F55*O55</f>
        <v>0</v>
      </c>
      <c r="J55" s="13">
        <f t="shared" ref="J55:J57" si="77">F55*G55</f>
        <v>0</v>
      </c>
      <c r="K55" s="13">
        <f t="shared" ref="K55:K58" si="78">J55*(1+$M$1)</f>
        <v>0</v>
      </c>
      <c r="L55" s="13">
        <f>ROUND(L54+G60-G59,2)</f>
        <v>1028.71</v>
      </c>
      <c r="M55" s="222"/>
      <c r="N55" s="321" t="str">
        <f>IFERROR((M55/K55)-1,"")</f>
        <v/>
      </c>
      <c r="Q55" s="1" t="s">
        <v>421</v>
      </c>
      <c r="R55" s="1" t="s">
        <v>422</v>
      </c>
      <c r="T55"/>
    </row>
    <row r="56" spans="1:20">
      <c r="B56" t="str">
        <f t="shared" si="75"/>
        <v/>
      </c>
      <c r="C56" s="292" t="s">
        <v>424</v>
      </c>
      <c r="D56" s="292" t="s">
        <v>425</v>
      </c>
      <c r="F56" s="500">
        <f>IF(VLOOKUP!E21="YES",1,0)</f>
        <v>0</v>
      </c>
      <c r="G56" s="13">
        <v>347</v>
      </c>
      <c r="H56" s="13">
        <f t="shared" ref="H56" si="79">G56*(1+$M$1)</f>
        <v>347</v>
      </c>
      <c r="I56" s="102">
        <f>F56*O56</f>
        <v>0</v>
      </c>
      <c r="J56" s="13">
        <f t="shared" ref="J56" si="80">F56*G56</f>
        <v>0</v>
      </c>
      <c r="K56" s="13">
        <f t="shared" ref="K56" si="81">J56*(1+$M$1)</f>
        <v>0</v>
      </c>
      <c r="L56" s="13">
        <f>ROUND(H56*(1+0.41),2)</f>
        <v>489.27</v>
      </c>
      <c r="M56" s="219">
        <f t="shared" ref="M56:M123" si="82">F56*L56</f>
        <v>0</v>
      </c>
      <c r="N56" s="321"/>
      <c r="Q56" s="1"/>
      <c r="R56" s="48"/>
      <c r="T56"/>
    </row>
    <row r="57" spans="1:20">
      <c r="B57" t="str">
        <f t="shared" si="75"/>
        <v/>
      </c>
      <c r="C57" s="371">
        <v>150045</v>
      </c>
      <c r="D57" s="292" t="s">
        <v>426</v>
      </c>
      <c r="E57" s="425">
        <f>IF(VLOOKUP!E22="YES",1,0)</f>
        <v>0</v>
      </c>
      <c r="F57" s="500">
        <f>IF(VLOOKUP!E22="YES",1,0)</f>
        <v>0</v>
      </c>
      <c r="G57" s="13">
        <v>977</v>
      </c>
      <c r="H57" s="13">
        <f t="shared" si="76"/>
        <v>977</v>
      </c>
      <c r="I57" s="102">
        <f>F57*O57</f>
        <v>0</v>
      </c>
      <c r="J57" s="13">
        <f t="shared" si="77"/>
        <v>0</v>
      </c>
      <c r="K57" s="13">
        <f t="shared" si="78"/>
        <v>0</v>
      </c>
      <c r="L57" s="13">
        <f>ROUND(H57*(1+0.41),2)</f>
        <v>1377.57</v>
      </c>
      <c r="M57" s="219">
        <f t="shared" si="82"/>
        <v>0</v>
      </c>
      <c r="N57" s="321"/>
      <c r="Q57" s="1"/>
      <c r="R57" s="1" t="s">
        <v>422</v>
      </c>
      <c r="T57"/>
    </row>
    <row r="58" spans="1:20">
      <c r="B58" t="str">
        <f t="shared" si="75"/>
        <v/>
      </c>
      <c r="C58" s="292" t="s">
        <v>427</v>
      </c>
      <c r="D58" s="292" t="s">
        <v>428</v>
      </c>
      <c r="E58" s="425"/>
      <c r="F58" s="425" cm="1">
        <f t="array" ref="F58">IFERROR(_xlfn.IFS(VLOOKUP!E23="Yes",1,F57=1,1,VLOOKUP!E23="No",),"")</f>
        <v>0</v>
      </c>
      <c r="G58" s="13">
        <v>81</v>
      </c>
      <c r="H58" s="13">
        <f t="shared" si="76"/>
        <v>81</v>
      </c>
      <c r="I58" s="102">
        <f>IFERROR(F58*O58,"")</f>
        <v>0</v>
      </c>
      <c r="J58" s="13">
        <f>F58*G58</f>
        <v>0</v>
      </c>
      <c r="K58" s="13">
        <f t="shared" si="78"/>
        <v>0</v>
      </c>
      <c r="L58" s="13">
        <f>ROUND(H58*1.5,2)</f>
        <v>121.5</v>
      </c>
      <c r="M58" s="222">
        <f t="shared" si="82"/>
        <v>0</v>
      </c>
      <c r="N58" s="321"/>
      <c r="O58" s="1">
        <v>3.5</v>
      </c>
      <c r="Q58" s="1"/>
      <c r="R58" s="48"/>
      <c r="T58"/>
    </row>
    <row r="59" spans="1:20">
      <c r="B59" t="str">
        <f t="shared" ref="B59:B99" si="83">IF(F59&gt;=1,C59,"")</f>
        <v/>
      </c>
      <c r="C59" s="369" t="s">
        <v>429</v>
      </c>
      <c r="D59" s="292" t="s">
        <v>430</v>
      </c>
      <c r="E59" s="425"/>
      <c r="F59" s="497">
        <v>0</v>
      </c>
      <c r="G59" s="13">
        <f>307.99*1.15</f>
        <v>354.18849999999998</v>
      </c>
      <c r="H59" s="13">
        <f t="shared" si="1"/>
        <v>354.18849999999998</v>
      </c>
      <c r="I59" s="102">
        <f t="shared" ref="I59:I125" si="84">F59*O59</f>
        <v>0</v>
      </c>
      <c r="J59" s="13">
        <f t="shared" ref="J59:J61" si="85">F59*G59</f>
        <v>0</v>
      </c>
      <c r="K59" s="13">
        <f t="shared" si="4"/>
        <v>0</v>
      </c>
      <c r="L59" s="13">
        <f>ROUND(H59*1.5,2)</f>
        <v>531.28</v>
      </c>
      <c r="M59" s="222">
        <f t="shared" si="82"/>
        <v>0</v>
      </c>
      <c r="N59" s="321" t="str">
        <f>IFERROR((M59/K59)-1,"")</f>
        <v/>
      </c>
      <c r="O59" s="1">
        <v>11</v>
      </c>
      <c r="P59" s="1"/>
      <c r="Q59" s="1" t="s">
        <v>421</v>
      </c>
      <c r="R59" s="1" t="s">
        <v>422</v>
      </c>
      <c r="T59"/>
    </row>
    <row r="60" spans="1:20">
      <c r="B60" t="str">
        <f t="shared" si="83"/>
        <v/>
      </c>
      <c r="C60" s="292" t="s">
        <v>431</v>
      </c>
      <c r="D60" s="292" t="s">
        <v>432</v>
      </c>
      <c r="E60" s="425"/>
      <c r="F60" s="497">
        <v>0</v>
      </c>
      <c r="G60" s="13">
        <f>182.32*1.25</f>
        <v>227.89999999999998</v>
      </c>
      <c r="H60" s="13">
        <f t="shared" si="1"/>
        <v>227.89999999999998</v>
      </c>
      <c r="I60" s="102">
        <f t="shared" si="84"/>
        <v>0</v>
      </c>
      <c r="J60" s="13">
        <f t="shared" ref="J60" si="86">F60*G60</f>
        <v>0</v>
      </c>
      <c r="K60" s="13">
        <f t="shared" si="4"/>
        <v>0</v>
      </c>
      <c r="L60" s="13">
        <f>ROUND(H60*1.5,2)</f>
        <v>341.85</v>
      </c>
      <c r="M60" s="222">
        <f t="shared" si="82"/>
        <v>0</v>
      </c>
      <c r="N60" s="321" t="str">
        <f>IFERROR((M60/K60)-1,"")</f>
        <v/>
      </c>
      <c r="O60" s="1">
        <v>11</v>
      </c>
      <c r="P60" s="1"/>
      <c r="Q60" s="1" t="s">
        <v>421</v>
      </c>
      <c r="R60" s="1" t="s">
        <v>422</v>
      </c>
      <c r="T60"/>
    </row>
    <row r="61" spans="1:20">
      <c r="B61" t="str">
        <f t="shared" si="83"/>
        <v/>
      </c>
      <c r="C61" s="292" t="s">
        <v>433</v>
      </c>
      <c r="D61" s="292" t="s">
        <v>434</v>
      </c>
      <c r="E61" s="425"/>
      <c r="F61" s="425">
        <f>IF(VLOOKUP!E25="Yes",1,0)</f>
        <v>0</v>
      </c>
      <c r="G61" s="13">
        <f>VLOOKUP(C61,lists!I:L,4,FALSE)</f>
        <v>825</v>
      </c>
      <c r="H61" s="13">
        <f t="shared" si="1"/>
        <v>825</v>
      </c>
      <c r="I61" s="102">
        <f t="shared" si="84"/>
        <v>0</v>
      </c>
      <c r="J61" s="13">
        <f t="shared" si="85"/>
        <v>0</v>
      </c>
      <c r="K61" s="13">
        <f t="shared" si="4"/>
        <v>0</v>
      </c>
      <c r="L61" s="13">
        <f t="shared" ref="L61" si="87">ROUND(H61*(1+$M$2),2)</f>
        <v>1897.5</v>
      </c>
      <c r="M61" s="221">
        <f t="shared" si="82"/>
        <v>0</v>
      </c>
      <c r="N61" s="321" t="str">
        <f>IFERROR((M61/K61)-1,"")</f>
        <v/>
      </c>
      <c r="O61" s="1">
        <v>170</v>
      </c>
      <c r="P61" s="1"/>
      <c r="Q61" s="1"/>
      <c r="R61" s="48"/>
      <c r="T61"/>
    </row>
    <row r="62" spans="1:20">
      <c r="B62" t="str">
        <f t="shared" si="83"/>
        <v>SSG-SA-CWM</v>
      </c>
      <c r="C62" s="292" t="s">
        <v>435</v>
      </c>
      <c r="D62" s="292" t="s">
        <v>436</v>
      </c>
      <c r="E62" s="425"/>
      <c r="F62" s="425">
        <f>IF(VLOOKUP!E27="Yes",1,0)</f>
        <v>1</v>
      </c>
      <c r="G62" s="13">
        <f>VLOOKUP(C62,lists!I:L,4,FALSE)</f>
        <v>1062</v>
      </c>
      <c r="H62" s="13">
        <f t="shared" si="1"/>
        <v>1062</v>
      </c>
      <c r="I62" s="102">
        <f t="shared" ref="I62" si="88">F62*O62</f>
        <v>241</v>
      </c>
      <c r="J62" s="13">
        <f t="shared" ref="J62" si="89">F62*G62</f>
        <v>1062</v>
      </c>
      <c r="K62" s="13">
        <f t="shared" ref="K62" si="90">J62*(1+$M$1)</f>
        <v>1062</v>
      </c>
      <c r="L62" s="13">
        <f t="shared" ref="L62" si="91">ROUND(H62*(1+$M$2),2)</f>
        <v>2442.6</v>
      </c>
      <c r="M62" s="221">
        <f t="shared" ref="M62" si="92">F62*L62</f>
        <v>2442.6</v>
      </c>
      <c r="N62" s="321"/>
      <c r="O62" s="1">
        <v>241</v>
      </c>
      <c r="P62" s="1"/>
      <c r="Q62" s="1"/>
      <c r="R62" s="48"/>
      <c r="T62"/>
    </row>
    <row r="63" spans="1:20">
      <c r="B63" t="str">
        <f t="shared" si="83"/>
        <v/>
      </c>
      <c r="C63" s="292" t="s">
        <v>437</v>
      </c>
      <c r="D63" s="292" t="s">
        <v>438</v>
      </c>
      <c r="E63" s="425"/>
      <c r="F63" s="497">
        <v>0</v>
      </c>
      <c r="G63" s="13">
        <v>1199.95</v>
      </c>
      <c r="H63" s="13">
        <f>G63*(1+$M$1)</f>
        <v>1199.95</v>
      </c>
      <c r="I63" s="102">
        <f t="shared" si="84"/>
        <v>0</v>
      </c>
      <c r="J63" s="13">
        <f>F63*G63</f>
        <v>0</v>
      </c>
      <c r="K63" s="13">
        <f>J63*(1+$M$1)</f>
        <v>0</v>
      </c>
      <c r="L63" s="13">
        <f>ROUND(H63*(1+0.69837076544856),2)</f>
        <v>2037.96</v>
      </c>
      <c r="M63" s="221">
        <f t="shared" si="82"/>
        <v>0</v>
      </c>
      <c r="N63" s="321" t="str">
        <f>IFERROR((M63/K63)-1,"")</f>
        <v/>
      </c>
      <c r="O63" s="1"/>
      <c r="P63" s="1"/>
      <c r="Q63" s="1"/>
      <c r="R63" s="1" t="s">
        <v>422</v>
      </c>
      <c r="T63"/>
    </row>
    <row r="64" spans="1:20">
      <c r="B64" t="str">
        <f t="shared" si="83"/>
        <v/>
      </c>
      <c r="C64" s="292" t="s">
        <v>439</v>
      </c>
      <c r="D64" s="474" t="s">
        <v>440</v>
      </c>
      <c r="E64" s="425"/>
      <c r="F64" s="497"/>
      <c r="G64" s="13">
        <v>35.99</v>
      </c>
      <c r="H64" s="13">
        <f t="shared" ref="H64:H65" si="93">G64*(1+$M$1)</f>
        <v>35.99</v>
      </c>
      <c r="I64" s="102">
        <f t="shared" si="84"/>
        <v>0</v>
      </c>
      <c r="J64" s="13">
        <f t="shared" ref="J64:J65" si="94">F64*G64</f>
        <v>0</v>
      </c>
      <c r="K64" s="13">
        <f t="shared" ref="K64:K65" si="95">J64*(1+$M$1)</f>
        <v>0</v>
      </c>
      <c r="L64" s="13">
        <f t="shared" ref="L64:L65" si="96">ROUND(H64*(1+0.69837076544856),2)</f>
        <v>61.12</v>
      </c>
      <c r="M64" s="221">
        <f t="shared" ref="M64:M65" si="97">F64*L64</f>
        <v>0</v>
      </c>
      <c r="N64" s="321" t="str">
        <f t="shared" ref="N64:N65" si="98">IFERROR((M64/K64)-1,"")</f>
        <v/>
      </c>
      <c r="O64" s="1"/>
      <c r="P64" s="1"/>
      <c r="Q64" s="1"/>
      <c r="R64" s="48"/>
      <c r="T64"/>
    </row>
    <row r="65" spans="1:20">
      <c r="B65" t="str">
        <f t="shared" si="83"/>
        <v/>
      </c>
      <c r="C65" s="292" t="s">
        <v>441</v>
      </c>
      <c r="D65" s="474" t="s">
        <v>442</v>
      </c>
      <c r="E65" s="425"/>
      <c r="F65" s="497"/>
      <c r="G65" s="13">
        <v>28.46</v>
      </c>
      <c r="H65" s="13">
        <f t="shared" si="93"/>
        <v>28.46</v>
      </c>
      <c r="I65" s="102">
        <f t="shared" si="84"/>
        <v>0</v>
      </c>
      <c r="J65" s="13">
        <f t="shared" si="94"/>
        <v>0</v>
      </c>
      <c r="K65" s="13">
        <f t="shared" si="95"/>
        <v>0</v>
      </c>
      <c r="L65" s="13">
        <f t="shared" si="96"/>
        <v>48.34</v>
      </c>
      <c r="M65" s="221">
        <f t="shared" si="97"/>
        <v>0</v>
      </c>
      <c r="N65" s="321" t="str">
        <f t="shared" si="98"/>
        <v/>
      </c>
      <c r="O65" s="1"/>
      <c r="P65" s="1"/>
      <c r="Q65" s="1"/>
      <c r="R65" s="48"/>
      <c r="T65"/>
    </row>
    <row r="66" spans="1:20">
      <c r="B66" t="str">
        <f t="shared" si="83"/>
        <v/>
      </c>
      <c r="C66" s="143" t="s">
        <v>443</v>
      </c>
      <c r="D66" s="292" t="s">
        <v>444</v>
      </c>
      <c r="E66" s="425"/>
      <c r="F66" s="497"/>
      <c r="G66" s="13">
        <v>185.34</v>
      </c>
      <c r="H66" s="13">
        <f t="shared" ref="H66" si="99">G66*(1+$M$1)</f>
        <v>185.34</v>
      </c>
      <c r="I66" s="102">
        <f t="shared" si="84"/>
        <v>0</v>
      </c>
      <c r="J66" s="13">
        <f>F66*G66</f>
        <v>0</v>
      </c>
      <c r="K66" s="13">
        <f t="shared" ref="K66" si="100">J66*(1+$M$1)</f>
        <v>0</v>
      </c>
      <c r="L66" s="13">
        <f>ROUND(H66*(1+0.69837076544856),2)</f>
        <v>314.77999999999997</v>
      </c>
      <c r="M66" s="222">
        <f t="shared" si="82"/>
        <v>0</v>
      </c>
      <c r="N66" s="321"/>
      <c r="O66" s="1"/>
      <c r="P66" s="1"/>
      <c r="Q66" s="1"/>
      <c r="R66" s="48"/>
      <c r="T66"/>
    </row>
    <row r="67" spans="1:20">
      <c r="B67" t="str">
        <f t="shared" si="83"/>
        <v/>
      </c>
      <c r="C67" s="143" t="s">
        <v>445</v>
      </c>
      <c r="D67" s="292" t="s">
        <v>446</v>
      </c>
      <c r="E67" s="425">
        <f>IF(VLOOKUP!E18="Yes",1,0)</f>
        <v>0</v>
      </c>
      <c r="F67" s="497">
        <f>E67</f>
        <v>0</v>
      </c>
      <c r="G67" s="13">
        <f>VLOOKUP(C67,lists!I:L,4,FALSE)</f>
        <v>192</v>
      </c>
      <c r="H67" s="13">
        <f t="shared" ref="H67" si="101">G67*(1+$M$1)</f>
        <v>192</v>
      </c>
      <c r="I67" s="102">
        <f t="shared" si="84"/>
        <v>0</v>
      </c>
      <c r="J67" s="13">
        <f>F67*G67</f>
        <v>0</v>
      </c>
      <c r="K67" s="13">
        <f t="shared" ref="K67" si="102">J67*(1+$M$1)</f>
        <v>0</v>
      </c>
      <c r="L67" s="13">
        <f>ROUND(H67*(1+0.69837076544856),2)</f>
        <v>326.08999999999997</v>
      </c>
      <c r="M67" s="222">
        <f t="shared" si="82"/>
        <v>0</v>
      </c>
      <c r="N67" s="321"/>
      <c r="O67" s="1"/>
      <c r="P67" s="1"/>
      <c r="Q67" s="1"/>
      <c r="R67" s="48"/>
      <c r="T67"/>
    </row>
    <row r="68" spans="1:20">
      <c r="B68" t="str">
        <f t="shared" si="83"/>
        <v>SSCW67</v>
      </c>
      <c r="C68" s="368" t="s">
        <v>447</v>
      </c>
      <c r="D68" s="368" t="s">
        <v>448</v>
      </c>
      <c r="E68" s="425">
        <f>IF(VLOOKUP!E31="no",0,E5)</f>
        <v>2</v>
      </c>
      <c r="F68" s="498">
        <f>E68</f>
        <v>2</v>
      </c>
      <c r="G68" s="13">
        <v>145</v>
      </c>
      <c r="H68" s="13">
        <f t="shared" si="1"/>
        <v>145</v>
      </c>
      <c r="I68" s="102">
        <f t="shared" si="84"/>
        <v>0</v>
      </c>
      <c r="J68" s="13">
        <f>F68*G68</f>
        <v>290</v>
      </c>
      <c r="K68" s="13">
        <f t="shared" si="4"/>
        <v>290</v>
      </c>
      <c r="L68" s="13">
        <f>ROUND(G68*1.525,2)</f>
        <v>221.13</v>
      </c>
      <c r="M68" s="222">
        <f t="shared" si="82"/>
        <v>442.26</v>
      </c>
      <c r="N68" s="57">
        <f t="shared" ref="N68:N128" si="103">IFERROR((M68/K68)-1,"")</f>
        <v>0.52503448275862064</v>
      </c>
      <c r="O68" s="1"/>
      <c r="P68" s="1"/>
      <c r="Q68" s="1" t="s">
        <v>449</v>
      </c>
      <c r="R68" s="48"/>
      <c r="T68"/>
    </row>
    <row r="69" spans="1:20">
      <c r="B69" t="str">
        <f t="shared" si="83"/>
        <v>SSUSP67</v>
      </c>
      <c r="C69" s="368" t="s">
        <v>450</v>
      </c>
      <c r="D69" s="368" t="s">
        <v>451</v>
      </c>
      <c r="E69" s="425">
        <f>IF(VLOOKUP!E31="no",0,E6)</f>
        <v>2</v>
      </c>
      <c r="F69" s="499">
        <v>2</v>
      </c>
      <c r="G69" s="13">
        <v>155</v>
      </c>
      <c r="H69" s="13">
        <f t="shared" ref="H69:H71" si="104">G69*(1+$M$1)</f>
        <v>155</v>
      </c>
      <c r="I69" s="102">
        <f t="shared" si="84"/>
        <v>0</v>
      </c>
      <c r="J69" s="13">
        <f t="shared" ref="J69:J71" si="105">F69*G69</f>
        <v>310</v>
      </c>
      <c r="K69" s="13">
        <f t="shared" ref="K69:K71" si="106">J69*(1+$M$1)</f>
        <v>310</v>
      </c>
      <c r="L69" s="13">
        <f t="shared" ref="L69:L70" si="107">ROUND(G69*1.525,2)</f>
        <v>236.38</v>
      </c>
      <c r="M69" s="222">
        <f t="shared" si="82"/>
        <v>472.76</v>
      </c>
      <c r="N69" s="57">
        <f t="shared" si="103"/>
        <v>0.52503225806451614</v>
      </c>
      <c r="O69" s="1"/>
      <c r="P69" s="1"/>
      <c r="Q69" s="1" t="s">
        <v>449</v>
      </c>
      <c r="R69" s="48"/>
      <c r="T69"/>
    </row>
    <row r="70" spans="1:20">
      <c r="B70" t="str">
        <f t="shared" si="83"/>
        <v>SSUSP72</v>
      </c>
      <c r="C70" s="368" t="s">
        <v>452</v>
      </c>
      <c r="D70" s="368" t="s">
        <v>453</v>
      </c>
      <c r="E70" s="425">
        <f>IF(VLOOKUP!E32="Yes",VLOOKUP!E7,0)</f>
        <v>2</v>
      </c>
      <c r="F70" s="498">
        <f>E70</f>
        <v>2</v>
      </c>
      <c r="G70" s="13">
        <v>132</v>
      </c>
      <c r="H70" s="13">
        <f t="shared" si="104"/>
        <v>132</v>
      </c>
      <c r="I70" s="102">
        <f t="shared" si="84"/>
        <v>0</v>
      </c>
      <c r="J70" s="13">
        <f t="shared" si="105"/>
        <v>264</v>
      </c>
      <c r="K70" s="13">
        <f t="shared" si="106"/>
        <v>264</v>
      </c>
      <c r="L70" s="13">
        <f t="shared" si="107"/>
        <v>201.3</v>
      </c>
      <c r="M70" s="222">
        <f t="shared" si="82"/>
        <v>402.6</v>
      </c>
      <c r="N70" s="57">
        <f t="shared" si="103"/>
        <v>0.52500000000000013</v>
      </c>
      <c r="O70" s="1"/>
      <c r="P70" s="1"/>
      <c r="Q70" s="1" t="s">
        <v>449</v>
      </c>
      <c r="R70" s="48"/>
      <c r="T70"/>
    </row>
    <row r="71" spans="1:20">
      <c r="B71" t="str">
        <f t="shared" si="83"/>
        <v/>
      </c>
      <c r="C71" s="368" t="s">
        <v>454</v>
      </c>
      <c r="D71" s="368" t="s">
        <v>455</v>
      </c>
      <c r="E71" s="500">
        <f>IF(VLOOKUP!E17="Yes",1,0)</f>
        <v>0</v>
      </c>
      <c r="F71" s="548">
        <f>E71</f>
        <v>0</v>
      </c>
      <c r="G71" s="13">
        <v>20</v>
      </c>
      <c r="H71" s="13">
        <f t="shared" si="104"/>
        <v>20</v>
      </c>
      <c r="I71" s="102">
        <f t="shared" si="84"/>
        <v>0</v>
      </c>
      <c r="J71" s="13">
        <f t="shared" si="105"/>
        <v>0</v>
      </c>
      <c r="K71" s="13">
        <f t="shared" si="106"/>
        <v>0</v>
      </c>
      <c r="L71" s="13">
        <v>34.5</v>
      </c>
      <c r="M71" s="222">
        <f t="shared" si="82"/>
        <v>0</v>
      </c>
      <c r="N71" s="321" t="str">
        <f t="shared" si="103"/>
        <v/>
      </c>
      <c r="O71" s="1"/>
      <c r="P71" s="1"/>
      <c r="Q71" s="1" t="s">
        <v>449</v>
      </c>
      <c r="R71" s="48"/>
      <c r="T71"/>
    </row>
    <row r="72" spans="1:20" ht="14.45" customHeight="1">
      <c r="A72" s="860" t="s">
        <v>456</v>
      </c>
      <c r="B72" t="str">
        <f t="shared" si="83"/>
        <v/>
      </c>
      <c r="C72" s="366" t="s">
        <v>323</v>
      </c>
      <c r="D72" s="368" t="s">
        <v>457</v>
      </c>
      <c r="E72" s="793">
        <f>IF(VLOOKUP!$E$30="Yes",VLOOKUP(C72,VLOOKUP!$D$96:$E$109,2,FALSE),0)</f>
        <v>0</v>
      </c>
      <c r="F72" s="500">
        <f>E72</f>
        <v>0</v>
      </c>
      <c r="G72" s="13">
        <f>VLOOKUP(C72,'Resilite Mat Cost List'!$A$22:$H$49,8,FALSE)</f>
        <v>989.85</v>
      </c>
      <c r="H72" s="13">
        <f t="shared" ref="H72:H99" si="108">G72*(1+$M$1)</f>
        <v>989.85</v>
      </c>
      <c r="I72" s="102">
        <f t="shared" ref="I72:I99" si="109">F72*O72</f>
        <v>0</v>
      </c>
      <c r="J72" s="13">
        <f t="shared" ref="J72" si="110">F72*G72</f>
        <v>0</v>
      </c>
      <c r="K72" s="13">
        <f t="shared" ref="K72" si="111">J72*(1+$M$1)</f>
        <v>0</v>
      </c>
      <c r="L72" s="13">
        <f t="shared" ref="L72" si="112">ROUND(H72*1.4,2)</f>
        <v>1385.79</v>
      </c>
      <c r="M72" s="222">
        <f t="shared" ref="M72:M99" si="113">F72*L72</f>
        <v>0</v>
      </c>
      <c r="N72" s="321" t="str">
        <f t="shared" si="103"/>
        <v/>
      </c>
      <c r="O72" s="1"/>
      <c r="P72" s="1"/>
      <c r="Q72" s="1"/>
      <c r="R72" s="48"/>
      <c r="T72"/>
    </row>
    <row r="73" spans="1:20" ht="14.45" customHeight="1">
      <c r="A73" s="861"/>
      <c r="B73" t="str">
        <f t="shared" si="83"/>
        <v/>
      </c>
      <c r="C73" s="366" t="s">
        <v>318</v>
      </c>
      <c r="D73" s="368" t="s">
        <v>458</v>
      </c>
      <c r="E73" s="793">
        <f>IF(VLOOKUP!$E$30="Yes",VLOOKUP(C73,VLOOKUP!$D$96:$E$109,2,FALSE),0)</f>
        <v>0</v>
      </c>
      <c r="F73" s="500">
        <f t="shared" ref="F73:F85" si="114">E73</f>
        <v>0</v>
      </c>
      <c r="G73" s="13">
        <f>VLOOKUP(C73,'Resilite Mat Cost List'!$A$22:$H$49,8,FALSE)</f>
        <v>773.88</v>
      </c>
      <c r="H73" s="13">
        <f t="shared" si="108"/>
        <v>773.88</v>
      </c>
      <c r="I73" s="102">
        <f t="shared" si="109"/>
        <v>0</v>
      </c>
      <c r="J73" s="13">
        <f t="shared" ref="J73:J99" si="115">F73*G73</f>
        <v>0</v>
      </c>
      <c r="K73" s="13">
        <f t="shared" ref="K73:K99" si="116">J73*(1+$M$1)</f>
        <v>0</v>
      </c>
      <c r="L73" s="13">
        <f t="shared" ref="L73:L99" si="117">ROUND(H73*1.4,2)</f>
        <v>1083.43</v>
      </c>
      <c r="M73" s="222">
        <f t="shared" si="113"/>
        <v>0</v>
      </c>
      <c r="N73" s="321" t="str">
        <f t="shared" si="103"/>
        <v/>
      </c>
      <c r="O73" s="1"/>
      <c r="P73" s="1"/>
      <c r="Q73" s="1"/>
      <c r="R73" s="48"/>
      <c r="T73"/>
    </row>
    <row r="74" spans="1:20" ht="14.45" customHeight="1">
      <c r="A74" s="861"/>
      <c r="B74" t="str">
        <f t="shared" si="83"/>
        <v/>
      </c>
      <c r="C74" s="366" t="s">
        <v>324</v>
      </c>
      <c r="D74" s="368" t="s">
        <v>459</v>
      </c>
      <c r="E74" s="793">
        <f>IF(VLOOKUP!$E$30="Yes",VLOOKUP(C74,VLOOKUP!$D$96:$E$109,2,FALSE),0)</f>
        <v>0</v>
      </c>
      <c r="F74" s="500">
        <f t="shared" si="114"/>
        <v>0</v>
      </c>
      <c r="G74" s="13">
        <f>VLOOKUP(C74,'Resilite Mat Cost List'!$A$22:$H$49,8,FALSE)</f>
        <v>1217.5899999999999</v>
      </c>
      <c r="H74" s="13">
        <f t="shared" si="108"/>
        <v>1217.5899999999999</v>
      </c>
      <c r="I74" s="102">
        <f t="shared" si="109"/>
        <v>0</v>
      </c>
      <c r="J74" s="13">
        <f t="shared" si="115"/>
        <v>0</v>
      </c>
      <c r="K74" s="13">
        <f t="shared" si="116"/>
        <v>0</v>
      </c>
      <c r="L74" s="13">
        <f t="shared" si="117"/>
        <v>1704.63</v>
      </c>
      <c r="M74" s="222">
        <f t="shared" si="113"/>
        <v>0</v>
      </c>
      <c r="N74" s="321" t="str">
        <f t="shared" si="103"/>
        <v/>
      </c>
      <c r="O74" s="1"/>
      <c r="P74" s="1"/>
      <c r="Q74" s="1"/>
      <c r="R74" s="48"/>
      <c r="T74"/>
    </row>
    <row r="75" spans="1:20" ht="14.45" customHeight="1">
      <c r="A75" s="861"/>
      <c r="B75" t="str">
        <f t="shared" si="83"/>
        <v/>
      </c>
      <c r="C75" s="366" t="s">
        <v>321</v>
      </c>
      <c r="D75" s="368" t="s">
        <v>460</v>
      </c>
      <c r="E75" s="793">
        <f>IF(VLOOKUP!$E$30="Yes",VLOOKUP(C75,VLOOKUP!$D$96:$E$109,2,FALSE),0)</f>
        <v>0</v>
      </c>
      <c r="F75" s="500">
        <f t="shared" si="114"/>
        <v>0</v>
      </c>
      <c r="G75" s="13">
        <f>VLOOKUP(C75,'Resilite Mat Cost List'!$A$22:$H$49,8,FALSE)</f>
        <v>1097.83</v>
      </c>
      <c r="H75" s="13">
        <f t="shared" si="108"/>
        <v>1097.83</v>
      </c>
      <c r="I75" s="102">
        <f t="shared" si="109"/>
        <v>0</v>
      </c>
      <c r="J75" s="13">
        <f t="shared" si="115"/>
        <v>0</v>
      </c>
      <c r="K75" s="13">
        <f t="shared" si="116"/>
        <v>0</v>
      </c>
      <c r="L75" s="13">
        <f t="shared" si="117"/>
        <v>1536.96</v>
      </c>
      <c r="M75" s="222">
        <f t="shared" si="113"/>
        <v>0</v>
      </c>
      <c r="N75" s="321" t="str">
        <f t="shared" si="103"/>
        <v/>
      </c>
      <c r="O75" s="1"/>
      <c r="P75" s="1"/>
      <c r="Q75" s="1"/>
      <c r="R75" s="48"/>
      <c r="T75"/>
    </row>
    <row r="76" spans="1:20" ht="14.45" customHeight="1">
      <c r="A76" s="861"/>
      <c r="B76" t="str">
        <f t="shared" si="83"/>
        <v/>
      </c>
      <c r="C76" s="366" t="s">
        <v>319</v>
      </c>
      <c r="D76" s="368" t="s">
        <v>461</v>
      </c>
      <c r="E76" s="793">
        <f>IF(VLOOKUP!$E$30="Yes",VLOOKUP(C76,VLOOKUP!$D$96:$E$109,2,FALSE),0)</f>
        <v>0</v>
      </c>
      <c r="F76" s="500">
        <f t="shared" si="114"/>
        <v>0</v>
      </c>
      <c r="G76" s="13">
        <f>VLOOKUP(C76,'Resilite Mat Cost List'!$A$22:$H$49,8,FALSE)</f>
        <v>978.07</v>
      </c>
      <c r="H76" s="13">
        <f t="shared" si="108"/>
        <v>978.07</v>
      </c>
      <c r="I76" s="102">
        <f t="shared" si="109"/>
        <v>0</v>
      </c>
      <c r="J76" s="13">
        <f t="shared" si="115"/>
        <v>0</v>
      </c>
      <c r="K76" s="13">
        <f t="shared" si="116"/>
        <v>0</v>
      </c>
      <c r="L76" s="13">
        <f t="shared" si="117"/>
        <v>1369.3</v>
      </c>
      <c r="M76" s="222">
        <f t="shared" si="113"/>
        <v>0</v>
      </c>
      <c r="N76" s="321" t="str">
        <f t="shared" si="103"/>
        <v/>
      </c>
      <c r="O76" s="1"/>
      <c r="P76" s="1"/>
      <c r="Q76" s="1"/>
      <c r="R76" s="48"/>
      <c r="T76"/>
    </row>
    <row r="77" spans="1:20" ht="14.45" customHeight="1">
      <c r="A77" s="861"/>
      <c r="B77" t="str">
        <f t="shared" si="83"/>
        <v>R-SSA-1010CLM</v>
      </c>
      <c r="C77" s="366" t="s">
        <v>322</v>
      </c>
      <c r="D77" s="368" t="s">
        <v>462</v>
      </c>
      <c r="E77" s="793">
        <f>IF(VLOOKUP!$E$30="Yes",VLOOKUP(C77,VLOOKUP!$D$96:$E$109,2,FALSE),0)</f>
        <v>1</v>
      </c>
      <c r="F77" s="500">
        <f t="shared" si="114"/>
        <v>1</v>
      </c>
      <c r="G77" s="13">
        <f>VLOOKUP(C77,'Resilite Mat Cost List'!$A$22:$H$49,8,FALSE)</f>
        <v>1468.9</v>
      </c>
      <c r="H77" s="13">
        <f t="shared" si="108"/>
        <v>1468.9</v>
      </c>
      <c r="I77" s="102">
        <f t="shared" si="109"/>
        <v>0</v>
      </c>
      <c r="J77" s="13">
        <f t="shared" si="115"/>
        <v>1468.9</v>
      </c>
      <c r="K77" s="13">
        <f t="shared" si="116"/>
        <v>1468.9</v>
      </c>
      <c r="L77" s="13">
        <f t="shared" si="117"/>
        <v>2056.46</v>
      </c>
      <c r="M77" s="222">
        <f t="shared" si="113"/>
        <v>2056.46</v>
      </c>
      <c r="N77" s="321">
        <f t="shared" si="103"/>
        <v>0.39999999999999991</v>
      </c>
      <c r="O77" s="1"/>
      <c r="P77" s="1"/>
      <c r="Q77" s="1"/>
      <c r="R77" s="48"/>
      <c r="T77"/>
    </row>
    <row r="78" spans="1:20" ht="14.45" customHeight="1">
      <c r="A78" s="861"/>
      <c r="B78" t="str">
        <f t="shared" si="83"/>
        <v/>
      </c>
      <c r="C78" s="366" t="s">
        <v>310</v>
      </c>
      <c r="D78" s="368" t="s">
        <v>463</v>
      </c>
      <c r="E78" s="793">
        <f>IF(VLOOKUP!$E$30="Yes",VLOOKUP(C78,VLOOKUP!$D$96:$E$109,2,FALSE),0)</f>
        <v>0</v>
      </c>
      <c r="F78" s="500">
        <f t="shared" si="114"/>
        <v>0</v>
      </c>
      <c r="G78" s="13">
        <f>VLOOKUP(C78,'Resilite Mat Cost List'!$A$22:$H$49,8,FALSE)</f>
        <v>1337.36</v>
      </c>
      <c r="H78" s="13">
        <f t="shared" si="108"/>
        <v>1337.36</v>
      </c>
      <c r="I78" s="102">
        <f t="shared" si="109"/>
        <v>0</v>
      </c>
      <c r="J78" s="13">
        <f t="shared" si="115"/>
        <v>0</v>
      </c>
      <c r="K78" s="13">
        <f t="shared" si="116"/>
        <v>0</v>
      </c>
      <c r="L78" s="13">
        <f t="shared" si="117"/>
        <v>1872.3</v>
      </c>
      <c r="M78" s="222">
        <f t="shared" si="113"/>
        <v>0</v>
      </c>
      <c r="N78" s="321" t="str">
        <f t="shared" si="103"/>
        <v/>
      </c>
      <c r="O78" s="1"/>
      <c r="P78" s="1"/>
      <c r="Q78" s="1"/>
      <c r="R78" s="48"/>
      <c r="T78"/>
    </row>
    <row r="79" spans="1:20" ht="14.45" customHeight="1">
      <c r="A79" s="861"/>
      <c r="B79" t="str">
        <f t="shared" si="83"/>
        <v/>
      </c>
      <c r="C79" s="366" t="s">
        <v>308</v>
      </c>
      <c r="D79" s="368" t="s">
        <v>464</v>
      </c>
      <c r="E79" s="793">
        <f>IF(VLOOKUP!$E$30="Yes",VLOOKUP(C79,VLOOKUP!$D$96:$E$109,2,FALSE),0)</f>
        <v>0</v>
      </c>
      <c r="F79" s="500">
        <f t="shared" si="114"/>
        <v>0</v>
      </c>
      <c r="G79" s="13">
        <f>VLOOKUP(C79,'Resilite Mat Cost List'!$A$22:$H$49,8,FALSE)</f>
        <v>1205.81</v>
      </c>
      <c r="H79" s="13">
        <f t="shared" si="108"/>
        <v>1205.81</v>
      </c>
      <c r="I79" s="102">
        <f t="shared" si="109"/>
        <v>0</v>
      </c>
      <c r="J79" s="13">
        <f t="shared" si="115"/>
        <v>0</v>
      </c>
      <c r="K79" s="13">
        <f t="shared" si="116"/>
        <v>0</v>
      </c>
      <c r="L79" s="13">
        <f t="shared" si="117"/>
        <v>1688.13</v>
      </c>
      <c r="M79" s="222">
        <f t="shared" si="113"/>
        <v>0</v>
      </c>
      <c r="N79" s="321" t="str">
        <f t="shared" si="103"/>
        <v/>
      </c>
      <c r="O79" s="1"/>
      <c r="P79" s="1"/>
      <c r="Q79" s="1"/>
      <c r="R79" s="48"/>
      <c r="T79"/>
    </row>
    <row r="80" spans="1:20" ht="14.45" customHeight="1">
      <c r="A80" s="861"/>
      <c r="B80" t="str">
        <f t="shared" si="83"/>
        <v/>
      </c>
      <c r="C80" s="366" t="s">
        <v>307</v>
      </c>
      <c r="D80" s="368" t="s">
        <v>465</v>
      </c>
      <c r="E80" s="793">
        <f>IF(VLOOKUP!$E$30="Yes",VLOOKUP(C80,VLOOKUP!$D$96:$E$109,2,FALSE),0)</f>
        <v>0</v>
      </c>
      <c r="F80" s="500">
        <f t="shared" si="114"/>
        <v>0</v>
      </c>
      <c r="G80" s="13">
        <f>VLOOKUP(C80,'Resilite Mat Cost List'!$A$22:$H$49,8,FALSE)</f>
        <v>1074.27</v>
      </c>
      <c r="H80" s="13">
        <f t="shared" si="108"/>
        <v>1074.27</v>
      </c>
      <c r="I80" s="102">
        <f t="shared" si="109"/>
        <v>0</v>
      </c>
      <c r="J80" s="13">
        <f t="shared" si="115"/>
        <v>0</v>
      </c>
      <c r="K80" s="13">
        <f t="shared" si="116"/>
        <v>0</v>
      </c>
      <c r="L80" s="13">
        <f t="shared" si="117"/>
        <v>1503.98</v>
      </c>
      <c r="M80" s="222">
        <f t="shared" si="113"/>
        <v>0</v>
      </c>
      <c r="N80" s="321" t="str">
        <f t="shared" si="103"/>
        <v/>
      </c>
      <c r="O80" s="1"/>
      <c r="P80" s="1"/>
      <c r="Q80" s="1"/>
      <c r="R80" s="48"/>
      <c r="T80"/>
    </row>
    <row r="81" spans="1:20" ht="14.45" customHeight="1">
      <c r="A81" s="861"/>
      <c r="B81" t="str">
        <f t="shared" si="83"/>
        <v/>
      </c>
      <c r="C81" s="366" t="s">
        <v>305</v>
      </c>
      <c r="D81" s="368" t="s">
        <v>466</v>
      </c>
      <c r="E81" s="793">
        <f>IF(VLOOKUP!$E$30="Yes",VLOOKUP(C81,VLOOKUP!$D$96:$E$109,2,FALSE),0)</f>
        <v>0</v>
      </c>
      <c r="F81" s="500">
        <f t="shared" si="114"/>
        <v>0</v>
      </c>
      <c r="G81" s="13">
        <f>VLOOKUP(C81,'Resilite Mat Cost List'!$A$22:$H$49,8,FALSE)</f>
        <v>942.73</v>
      </c>
      <c r="H81" s="13">
        <f t="shared" si="108"/>
        <v>942.73</v>
      </c>
      <c r="I81" s="102">
        <f t="shared" si="109"/>
        <v>0</v>
      </c>
      <c r="J81" s="13">
        <f t="shared" si="115"/>
        <v>0</v>
      </c>
      <c r="K81" s="13">
        <f t="shared" si="116"/>
        <v>0</v>
      </c>
      <c r="L81" s="13">
        <f t="shared" si="117"/>
        <v>1319.82</v>
      </c>
      <c r="M81" s="222">
        <f t="shared" si="113"/>
        <v>0</v>
      </c>
      <c r="N81" s="321" t="str">
        <f t="shared" si="103"/>
        <v/>
      </c>
      <c r="O81" s="1"/>
      <c r="P81" s="1"/>
      <c r="Q81" s="1"/>
      <c r="R81" s="48"/>
      <c r="T81"/>
    </row>
    <row r="82" spans="1:20" ht="14.45" customHeight="1">
      <c r="A82" s="861"/>
      <c r="B82" t="str">
        <f t="shared" si="83"/>
        <v/>
      </c>
      <c r="C82" s="366" t="s">
        <v>316</v>
      </c>
      <c r="D82" s="368" t="s">
        <v>467</v>
      </c>
      <c r="E82" s="793">
        <f>IF(VLOOKUP!$E$30="Yes",VLOOKUP(C82,VLOOKUP!$D$96:$E$109,2,FALSE),0)</f>
        <v>0</v>
      </c>
      <c r="F82" s="500">
        <f t="shared" si="114"/>
        <v>0</v>
      </c>
      <c r="G82" s="13">
        <f>VLOOKUP(C82,'Resilite Mat Cost List'!$A$22:$H$49,8,FALSE)</f>
        <v>2784.33</v>
      </c>
      <c r="H82" s="13">
        <f t="shared" si="108"/>
        <v>2784.33</v>
      </c>
      <c r="I82" s="102">
        <f t="shared" si="109"/>
        <v>0</v>
      </c>
      <c r="J82" s="13">
        <f t="shared" si="115"/>
        <v>0</v>
      </c>
      <c r="K82" s="13">
        <f t="shared" si="116"/>
        <v>0</v>
      </c>
      <c r="L82" s="13">
        <f t="shared" si="117"/>
        <v>3898.06</v>
      </c>
      <c r="M82" s="222">
        <f t="shared" si="113"/>
        <v>0</v>
      </c>
      <c r="N82" s="321" t="str">
        <f t="shared" si="103"/>
        <v/>
      </c>
      <c r="O82" s="1"/>
      <c r="P82" s="1"/>
      <c r="Q82" s="1"/>
      <c r="R82" s="48"/>
      <c r="T82"/>
    </row>
    <row r="83" spans="1:20" ht="14.45" customHeight="1">
      <c r="A83" s="861"/>
      <c r="B83" t="str">
        <f t="shared" si="83"/>
        <v/>
      </c>
      <c r="C83" s="366" t="s">
        <v>315</v>
      </c>
      <c r="D83" s="368" t="s">
        <v>468</v>
      </c>
      <c r="E83" s="793">
        <f>IF(VLOOKUP!$E$30="Yes",VLOOKUP(C83,VLOOKUP!$D$96:$E$109,2,FALSE),0)</f>
        <v>0</v>
      </c>
      <c r="F83" s="500">
        <f t="shared" si="114"/>
        <v>0</v>
      </c>
      <c r="G83" s="13">
        <f>VLOOKUP(C83,'Resilite Mat Cost List'!$A$22:$H$49,8,FALSE)</f>
        <v>2285.65</v>
      </c>
      <c r="H83" s="13">
        <f t="shared" si="108"/>
        <v>2285.65</v>
      </c>
      <c r="I83" s="102">
        <f t="shared" si="109"/>
        <v>0</v>
      </c>
      <c r="J83" s="13">
        <f t="shared" si="115"/>
        <v>0</v>
      </c>
      <c r="K83" s="13">
        <f t="shared" si="116"/>
        <v>0</v>
      </c>
      <c r="L83" s="13">
        <f t="shared" si="117"/>
        <v>3199.91</v>
      </c>
      <c r="M83" s="222">
        <f t="shared" si="113"/>
        <v>0</v>
      </c>
      <c r="N83" s="321" t="str">
        <f t="shared" si="103"/>
        <v/>
      </c>
      <c r="O83" s="1"/>
      <c r="P83" s="1"/>
      <c r="Q83" s="1"/>
      <c r="R83" s="48"/>
      <c r="T83"/>
    </row>
    <row r="84" spans="1:20" ht="14.45" customHeight="1">
      <c r="A84" s="861"/>
      <c r="B84" t="str">
        <f t="shared" si="83"/>
        <v/>
      </c>
      <c r="C84" s="366" t="s">
        <v>314</v>
      </c>
      <c r="D84" s="368" t="s">
        <v>469</v>
      </c>
      <c r="E84" s="793">
        <f>IF(VLOOKUP!$E$30="Yes",VLOOKUP(C84,VLOOKUP!$D$96:$E$109,2,FALSE),0)</f>
        <v>0</v>
      </c>
      <c r="F84" s="500">
        <f t="shared" si="114"/>
        <v>0</v>
      </c>
      <c r="G84" s="13">
        <f>VLOOKUP(C84,'Resilite Mat Cost List'!$A$22:$H$49,8,FALSE)</f>
        <v>2036.3</v>
      </c>
      <c r="H84" s="13">
        <f t="shared" si="108"/>
        <v>2036.3</v>
      </c>
      <c r="I84" s="102">
        <f t="shared" si="109"/>
        <v>0</v>
      </c>
      <c r="J84" s="13">
        <f t="shared" si="115"/>
        <v>0</v>
      </c>
      <c r="K84" s="13">
        <f t="shared" si="116"/>
        <v>0</v>
      </c>
      <c r="L84" s="13">
        <f t="shared" si="117"/>
        <v>2850.82</v>
      </c>
      <c r="M84" s="222">
        <f t="shared" si="113"/>
        <v>0</v>
      </c>
      <c r="N84" s="321" t="str">
        <f t="shared" si="103"/>
        <v/>
      </c>
      <c r="O84" s="1"/>
      <c r="P84" s="1"/>
      <c r="Q84" s="1"/>
      <c r="R84" s="48"/>
      <c r="T84"/>
    </row>
    <row r="85" spans="1:20" ht="14.45" customHeight="1">
      <c r="A85" s="861"/>
      <c r="B85" t="str">
        <f t="shared" si="83"/>
        <v/>
      </c>
      <c r="C85" s="366" t="s">
        <v>312</v>
      </c>
      <c r="D85" s="368" t="s">
        <v>470</v>
      </c>
      <c r="E85" s="793">
        <f>IF(VLOOKUP!$E$30="Yes",VLOOKUP(C85,VLOOKUP!$D$96:$E$109,2,FALSE),0)</f>
        <v>0</v>
      </c>
      <c r="F85" s="500">
        <f t="shared" si="114"/>
        <v>0</v>
      </c>
      <c r="G85" s="13">
        <f>VLOOKUP(C85,'Resilite Mat Cost List'!$A$22:$H$49,8,FALSE)</f>
        <v>2258.16</v>
      </c>
      <c r="H85" s="13">
        <f t="shared" si="108"/>
        <v>2258.16</v>
      </c>
      <c r="I85" s="102">
        <f t="shared" si="109"/>
        <v>0</v>
      </c>
      <c r="J85" s="13">
        <f t="shared" si="115"/>
        <v>0</v>
      </c>
      <c r="K85" s="13">
        <f t="shared" si="116"/>
        <v>0</v>
      </c>
      <c r="L85" s="13">
        <f t="shared" si="117"/>
        <v>3161.42</v>
      </c>
      <c r="M85" s="222">
        <f t="shared" si="113"/>
        <v>0</v>
      </c>
      <c r="N85" s="321" t="str">
        <f t="shared" si="103"/>
        <v/>
      </c>
      <c r="O85" s="1"/>
      <c r="P85" s="1"/>
      <c r="Q85" s="1"/>
      <c r="R85" s="48"/>
      <c r="T85"/>
    </row>
    <row r="86" spans="1:20" ht="14.45" customHeight="1">
      <c r="A86" s="854" t="s">
        <v>471</v>
      </c>
      <c r="B86" t="str">
        <f t="shared" si="83"/>
        <v/>
      </c>
      <c r="C86" s="366" t="s">
        <v>472</v>
      </c>
      <c r="D86" s="787" t="s">
        <v>473</v>
      </c>
      <c r="E86" s="425"/>
      <c r="F86" s="790"/>
      <c r="G86" s="13">
        <f>VLOOKUP(C86,'Resilite Mat Cost List'!$A$22:$H$49,8,FALSE)</f>
        <v>642.80999999999995</v>
      </c>
      <c r="H86" s="13">
        <f t="shared" si="108"/>
        <v>642.80999999999995</v>
      </c>
      <c r="I86" s="102">
        <f t="shared" si="109"/>
        <v>0</v>
      </c>
      <c r="J86" s="13">
        <f t="shared" si="115"/>
        <v>0</v>
      </c>
      <c r="K86" s="13">
        <f t="shared" si="116"/>
        <v>0</v>
      </c>
      <c r="L86" s="13">
        <f t="shared" si="117"/>
        <v>899.93</v>
      </c>
      <c r="M86" s="222">
        <f t="shared" si="113"/>
        <v>0</v>
      </c>
      <c r="N86" s="321" t="str">
        <f t="shared" si="103"/>
        <v/>
      </c>
      <c r="O86" s="1"/>
      <c r="P86" s="1"/>
      <c r="Q86" s="1"/>
      <c r="R86" s="48"/>
      <c r="T86"/>
    </row>
    <row r="87" spans="1:20" ht="14.45" customHeight="1">
      <c r="A87" s="855"/>
      <c r="B87" t="str">
        <f t="shared" si="83"/>
        <v/>
      </c>
      <c r="C87" s="366" t="s">
        <v>474</v>
      </c>
      <c r="D87" s="787" t="s">
        <v>475</v>
      </c>
      <c r="E87" s="425"/>
      <c r="F87" s="790"/>
      <c r="G87" s="13">
        <f>VLOOKUP(C87,'Resilite Mat Cost List'!$A$22:$H$49,8,FALSE)</f>
        <v>502.56</v>
      </c>
      <c r="H87" s="13">
        <f t="shared" si="108"/>
        <v>502.56</v>
      </c>
      <c r="I87" s="102">
        <f t="shared" si="109"/>
        <v>0</v>
      </c>
      <c r="J87" s="13">
        <f t="shared" si="115"/>
        <v>0</v>
      </c>
      <c r="K87" s="13">
        <f t="shared" si="116"/>
        <v>0</v>
      </c>
      <c r="L87" s="13">
        <f t="shared" si="117"/>
        <v>703.58</v>
      </c>
      <c r="M87" s="222">
        <f t="shared" si="113"/>
        <v>0</v>
      </c>
      <c r="N87" s="321" t="str">
        <f t="shared" si="103"/>
        <v/>
      </c>
      <c r="O87" s="1"/>
      <c r="P87" s="1"/>
      <c r="Q87" s="1"/>
      <c r="R87" s="48"/>
      <c r="T87"/>
    </row>
    <row r="88" spans="1:20" ht="14.45" customHeight="1">
      <c r="A88" s="855"/>
      <c r="B88" t="str">
        <f t="shared" si="83"/>
        <v/>
      </c>
      <c r="C88" s="366" t="s">
        <v>476</v>
      </c>
      <c r="D88" s="787" t="s">
        <v>477</v>
      </c>
      <c r="E88" s="425"/>
      <c r="F88" s="790"/>
      <c r="G88" s="13">
        <f>VLOOKUP(C88,'Resilite Mat Cost List'!$A$22:$H$49,8,FALSE)</f>
        <v>790.71</v>
      </c>
      <c r="H88" s="13">
        <f t="shared" si="108"/>
        <v>790.71</v>
      </c>
      <c r="I88" s="102">
        <f t="shared" si="109"/>
        <v>0</v>
      </c>
      <c r="J88" s="13">
        <f t="shared" si="115"/>
        <v>0</v>
      </c>
      <c r="K88" s="13">
        <f t="shared" si="116"/>
        <v>0</v>
      </c>
      <c r="L88" s="13">
        <f t="shared" si="117"/>
        <v>1106.99</v>
      </c>
      <c r="M88" s="222">
        <f t="shared" si="113"/>
        <v>0</v>
      </c>
      <c r="N88" s="321" t="str">
        <f t="shared" si="103"/>
        <v/>
      </c>
      <c r="O88" s="1"/>
      <c r="P88" s="1"/>
      <c r="Q88" s="1"/>
      <c r="R88" s="48"/>
      <c r="T88"/>
    </row>
    <row r="89" spans="1:20" ht="14.45" customHeight="1">
      <c r="A89" s="855"/>
      <c r="B89" t="str">
        <f t="shared" si="83"/>
        <v/>
      </c>
      <c r="C89" s="366" t="s">
        <v>478</v>
      </c>
      <c r="D89" s="787" t="s">
        <v>479</v>
      </c>
      <c r="E89" s="425"/>
      <c r="F89" s="790"/>
      <c r="G89" s="13">
        <f>VLOOKUP(C89,'Resilite Mat Cost List'!$A$22:$H$49,8,FALSE)</f>
        <v>712.94</v>
      </c>
      <c r="H89" s="13">
        <f t="shared" si="108"/>
        <v>712.94</v>
      </c>
      <c r="I89" s="102">
        <f t="shared" si="109"/>
        <v>0</v>
      </c>
      <c r="J89" s="13">
        <f t="shared" si="115"/>
        <v>0</v>
      </c>
      <c r="K89" s="13">
        <f t="shared" si="116"/>
        <v>0</v>
      </c>
      <c r="L89" s="13">
        <f t="shared" si="117"/>
        <v>998.12</v>
      </c>
      <c r="M89" s="222">
        <f t="shared" si="113"/>
        <v>0</v>
      </c>
      <c r="N89" s="321" t="str">
        <f t="shared" si="103"/>
        <v/>
      </c>
      <c r="O89" s="1"/>
      <c r="P89" s="1"/>
      <c r="Q89" s="1"/>
      <c r="R89" s="48"/>
      <c r="T89"/>
    </row>
    <row r="90" spans="1:20" ht="14.45" customHeight="1">
      <c r="A90" s="855"/>
      <c r="B90" t="str">
        <f t="shared" si="83"/>
        <v/>
      </c>
      <c r="C90" s="366" t="s">
        <v>480</v>
      </c>
      <c r="D90" s="787" t="s">
        <v>481</v>
      </c>
      <c r="E90" s="425"/>
      <c r="F90" s="790"/>
      <c r="G90" s="13">
        <f>VLOOKUP(C90,'Resilite Mat Cost List'!$A$22:$H$49,8,FALSE)</f>
        <v>635.16</v>
      </c>
      <c r="H90" s="13">
        <f t="shared" si="108"/>
        <v>635.16</v>
      </c>
      <c r="I90" s="102">
        <f t="shared" si="109"/>
        <v>0</v>
      </c>
      <c r="J90" s="13">
        <f t="shared" si="115"/>
        <v>0</v>
      </c>
      <c r="K90" s="13">
        <f t="shared" si="116"/>
        <v>0</v>
      </c>
      <c r="L90" s="13">
        <f t="shared" si="117"/>
        <v>889.22</v>
      </c>
      <c r="M90" s="222">
        <f t="shared" si="113"/>
        <v>0</v>
      </c>
      <c r="N90" s="321" t="str">
        <f t="shared" si="103"/>
        <v/>
      </c>
      <c r="O90" s="1"/>
      <c r="P90" s="1"/>
      <c r="Q90" s="1"/>
      <c r="R90" s="48"/>
      <c r="T90"/>
    </row>
    <row r="91" spans="1:20" ht="14.45" customHeight="1">
      <c r="A91" s="855"/>
      <c r="B91" t="str">
        <f t="shared" si="83"/>
        <v/>
      </c>
      <c r="C91" s="366" t="s">
        <v>482</v>
      </c>
      <c r="D91" s="787" t="s">
        <v>483</v>
      </c>
      <c r="E91" s="425"/>
      <c r="F91" s="790"/>
      <c r="G91" s="13">
        <f>VLOOKUP(C91,'Resilite Mat Cost List'!$A$22:$H$49,8,FALSE)</f>
        <v>953.91</v>
      </c>
      <c r="H91" s="13">
        <f t="shared" si="108"/>
        <v>953.91</v>
      </c>
      <c r="I91" s="102">
        <f t="shared" si="109"/>
        <v>0</v>
      </c>
      <c r="J91" s="13">
        <f t="shared" si="115"/>
        <v>0</v>
      </c>
      <c r="K91" s="13">
        <f t="shared" si="116"/>
        <v>0</v>
      </c>
      <c r="L91" s="13">
        <f t="shared" si="117"/>
        <v>1335.47</v>
      </c>
      <c r="M91" s="222">
        <f t="shared" si="113"/>
        <v>0</v>
      </c>
      <c r="N91" s="321" t="str">
        <f t="shared" si="103"/>
        <v/>
      </c>
      <c r="O91" s="1"/>
      <c r="P91" s="1"/>
      <c r="Q91" s="1"/>
      <c r="R91" s="48"/>
      <c r="T91"/>
    </row>
    <row r="92" spans="1:20" ht="14.45" customHeight="1">
      <c r="A92" s="855"/>
      <c r="B92" t="str">
        <f t="shared" si="83"/>
        <v/>
      </c>
      <c r="C92" s="366" t="s">
        <v>484</v>
      </c>
      <c r="D92" s="787" t="s">
        <v>485</v>
      </c>
      <c r="E92" s="425"/>
      <c r="F92" s="790"/>
      <c r="G92" s="13">
        <f>VLOOKUP(C92,'Resilite Mat Cost List'!$A$22:$H$49,8,FALSE)</f>
        <v>868.49</v>
      </c>
      <c r="H92" s="13">
        <f t="shared" si="108"/>
        <v>868.49</v>
      </c>
      <c r="I92" s="102">
        <f t="shared" si="109"/>
        <v>0</v>
      </c>
      <c r="J92" s="13">
        <f t="shared" si="115"/>
        <v>0</v>
      </c>
      <c r="K92" s="13">
        <f t="shared" si="116"/>
        <v>0</v>
      </c>
      <c r="L92" s="13">
        <f t="shared" si="117"/>
        <v>1215.8900000000001</v>
      </c>
      <c r="M92" s="222">
        <f t="shared" si="113"/>
        <v>0</v>
      </c>
      <c r="N92" s="321" t="str">
        <f t="shared" si="103"/>
        <v/>
      </c>
      <c r="O92" s="1"/>
      <c r="P92" s="1"/>
      <c r="Q92" s="1"/>
      <c r="R92" s="48"/>
      <c r="T92"/>
    </row>
    <row r="93" spans="1:20" ht="14.45" customHeight="1">
      <c r="A93" s="855"/>
      <c r="B93" t="str">
        <f t="shared" si="83"/>
        <v/>
      </c>
      <c r="C93" s="366" t="s">
        <v>486</v>
      </c>
      <c r="D93" s="787" t="s">
        <v>487</v>
      </c>
      <c r="E93" s="425"/>
      <c r="F93" s="790"/>
      <c r="G93" s="13">
        <f>VLOOKUP(C93,'Resilite Mat Cost List'!$A$22:$H$49,8,FALSE)</f>
        <v>783.06</v>
      </c>
      <c r="H93" s="13">
        <f t="shared" si="108"/>
        <v>783.06</v>
      </c>
      <c r="I93" s="102">
        <f t="shared" si="109"/>
        <v>0</v>
      </c>
      <c r="J93" s="13">
        <f t="shared" si="115"/>
        <v>0</v>
      </c>
      <c r="K93" s="13">
        <f t="shared" si="116"/>
        <v>0</v>
      </c>
      <c r="L93" s="13">
        <f t="shared" si="117"/>
        <v>1096.28</v>
      </c>
      <c r="M93" s="222">
        <f t="shared" si="113"/>
        <v>0</v>
      </c>
      <c r="N93" s="321" t="str">
        <f t="shared" si="103"/>
        <v/>
      </c>
      <c r="O93" s="1"/>
      <c r="P93" s="1"/>
      <c r="Q93" s="1"/>
      <c r="R93" s="48"/>
      <c r="T93"/>
    </row>
    <row r="94" spans="1:20" ht="14.45" customHeight="1">
      <c r="A94" s="855"/>
      <c r="B94" t="str">
        <f t="shared" si="83"/>
        <v/>
      </c>
      <c r="C94" s="366" t="s">
        <v>488</v>
      </c>
      <c r="D94" s="787" t="s">
        <v>489</v>
      </c>
      <c r="E94" s="425"/>
      <c r="F94" s="790"/>
      <c r="G94" s="13">
        <f>VLOOKUP(C94,'Resilite Mat Cost List'!$A$22:$H$49,8,FALSE)</f>
        <v>697.64</v>
      </c>
      <c r="H94" s="13">
        <f t="shared" si="108"/>
        <v>697.64</v>
      </c>
      <c r="I94" s="102">
        <f t="shared" si="109"/>
        <v>0</v>
      </c>
      <c r="J94" s="13">
        <f t="shared" si="115"/>
        <v>0</v>
      </c>
      <c r="K94" s="13">
        <f t="shared" si="116"/>
        <v>0</v>
      </c>
      <c r="L94" s="13">
        <f t="shared" si="117"/>
        <v>976.7</v>
      </c>
      <c r="M94" s="222">
        <f t="shared" si="113"/>
        <v>0</v>
      </c>
      <c r="N94" s="321" t="str">
        <f t="shared" si="103"/>
        <v/>
      </c>
      <c r="O94" s="1"/>
      <c r="P94" s="1"/>
      <c r="Q94" s="1"/>
      <c r="R94" s="48"/>
      <c r="T94"/>
    </row>
    <row r="95" spans="1:20" ht="14.45" customHeight="1">
      <c r="A95" s="855"/>
      <c r="B95" t="str">
        <f t="shared" si="83"/>
        <v/>
      </c>
      <c r="C95" s="366" t="s">
        <v>490</v>
      </c>
      <c r="D95" s="787" t="s">
        <v>491</v>
      </c>
      <c r="E95" s="425"/>
      <c r="F95" s="790"/>
      <c r="G95" s="13">
        <f>VLOOKUP(C95,'Resilite Mat Cost List'!$A$22:$H$49,8,FALSE)</f>
        <v>612.21</v>
      </c>
      <c r="H95" s="13">
        <f t="shared" si="108"/>
        <v>612.21</v>
      </c>
      <c r="I95" s="102">
        <f t="shared" si="109"/>
        <v>0</v>
      </c>
      <c r="J95" s="13">
        <f t="shared" si="115"/>
        <v>0</v>
      </c>
      <c r="K95" s="13">
        <f t="shared" si="116"/>
        <v>0</v>
      </c>
      <c r="L95" s="13">
        <f t="shared" si="117"/>
        <v>857.09</v>
      </c>
      <c r="M95" s="222">
        <f t="shared" si="113"/>
        <v>0</v>
      </c>
      <c r="N95" s="321" t="str">
        <f t="shared" si="103"/>
        <v/>
      </c>
      <c r="O95" s="1"/>
      <c r="P95" s="1"/>
      <c r="Q95" s="1"/>
      <c r="R95" s="48"/>
      <c r="T95"/>
    </row>
    <row r="96" spans="1:20" ht="14.45" customHeight="1">
      <c r="A96" s="855"/>
      <c r="B96" t="str">
        <f t="shared" si="83"/>
        <v/>
      </c>
      <c r="C96" s="366" t="s">
        <v>492</v>
      </c>
      <c r="D96" s="787" t="s">
        <v>493</v>
      </c>
      <c r="E96" s="425"/>
      <c r="F96" s="790"/>
      <c r="G96" s="13">
        <f>VLOOKUP(C96,'Resilite Mat Cost List'!$A$22:$H$49,8,FALSE)</f>
        <v>1808.16</v>
      </c>
      <c r="H96" s="13">
        <f t="shared" si="108"/>
        <v>1808.16</v>
      </c>
      <c r="I96" s="102">
        <f t="shared" si="109"/>
        <v>0</v>
      </c>
      <c r="J96" s="13">
        <f t="shared" si="115"/>
        <v>0</v>
      </c>
      <c r="K96" s="13">
        <f t="shared" si="116"/>
        <v>0</v>
      </c>
      <c r="L96" s="13">
        <f t="shared" si="117"/>
        <v>2531.42</v>
      </c>
      <c r="M96" s="222">
        <f t="shared" si="113"/>
        <v>0</v>
      </c>
      <c r="N96" s="321" t="str">
        <f t="shared" si="103"/>
        <v/>
      </c>
      <c r="O96" s="1"/>
      <c r="P96" s="1"/>
      <c r="Q96" s="1"/>
      <c r="R96" s="48"/>
      <c r="T96"/>
    </row>
    <row r="97" spans="1:20" ht="14.45" customHeight="1">
      <c r="A97" s="855"/>
      <c r="B97" t="str">
        <f t="shared" si="83"/>
        <v/>
      </c>
      <c r="C97" s="366" t="s">
        <v>494</v>
      </c>
      <c r="D97" s="787" t="s">
        <v>495</v>
      </c>
      <c r="E97" s="425"/>
      <c r="F97" s="790"/>
      <c r="G97" s="13">
        <f>VLOOKUP(C97,'Resilite Mat Cost List'!$A$22:$H$49,8,FALSE)</f>
        <v>1484.31</v>
      </c>
      <c r="H97" s="13">
        <f t="shared" si="108"/>
        <v>1484.31</v>
      </c>
      <c r="I97" s="102">
        <f t="shared" si="109"/>
        <v>0</v>
      </c>
      <c r="J97" s="13">
        <f t="shared" si="115"/>
        <v>0</v>
      </c>
      <c r="K97" s="13">
        <f t="shared" si="116"/>
        <v>0</v>
      </c>
      <c r="L97" s="13">
        <f t="shared" si="117"/>
        <v>2078.0300000000002</v>
      </c>
      <c r="M97" s="222">
        <f t="shared" si="113"/>
        <v>0</v>
      </c>
      <c r="N97" s="321" t="str">
        <f t="shared" si="103"/>
        <v/>
      </c>
      <c r="O97" s="1"/>
      <c r="P97" s="1"/>
      <c r="Q97" s="1"/>
      <c r="R97" s="48"/>
      <c r="T97"/>
    </row>
    <row r="98" spans="1:20" ht="14.45" customHeight="1">
      <c r="A98" s="855"/>
      <c r="B98" t="str">
        <f t="shared" si="83"/>
        <v/>
      </c>
      <c r="C98" s="366" t="s">
        <v>496</v>
      </c>
      <c r="D98" s="787" t="s">
        <v>497</v>
      </c>
      <c r="E98" s="425"/>
      <c r="F98" s="790"/>
      <c r="G98" s="13">
        <f>VLOOKUP(C98,'Resilite Mat Cost List'!$A$22:$H$49,8,FALSE)</f>
        <v>1466.46</v>
      </c>
      <c r="H98" s="13">
        <f t="shared" si="108"/>
        <v>1466.46</v>
      </c>
      <c r="I98" s="102">
        <f t="shared" si="109"/>
        <v>0</v>
      </c>
      <c r="J98" s="13">
        <f t="shared" si="115"/>
        <v>0</v>
      </c>
      <c r="K98" s="13">
        <f t="shared" si="116"/>
        <v>0</v>
      </c>
      <c r="L98" s="13">
        <f t="shared" si="117"/>
        <v>2053.04</v>
      </c>
      <c r="M98" s="222">
        <f t="shared" si="113"/>
        <v>0</v>
      </c>
      <c r="N98" s="321" t="str">
        <f t="shared" si="103"/>
        <v/>
      </c>
      <c r="O98" s="1"/>
      <c r="P98" s="1"/>
      <c r="Q98" s="1"/>
      <c r="R98" s="48"/>
      <c r="T98"/>
    </row>
    <row r="99" spans="1:20" ht="14.45" customHeight="1">
      <c r="A99" s="855"/>
      <c r="B99" t="str">
        <f t="shared" si="83"/>
        <v/>
      </c>
      <c r="C99" s="366" t="s">
        <v>498</v>
      </c>
      <c r="D99" s="787" t="s">
        <v>499</v>
      </c>
      <c r="E99" s="425"/>
      <c r="F99" s="790"/>
      <c r="G99" s="13">
        <f>VLOOKUP(C99,'Resilite Mat Cost List'!$A$22:$H$49,8,FALSE)</f>
        <v>1322.39</v>
      </c>
      <c r="H99" s="13">
        <f t="shared" si="108"/>
        <v>1322.39</v>
      </c>
      <c r="I99" s="102">
        <f t="shared" si="109"/>
        <v>0</v>
      </c>
      <c r="J99" s="13">
        <f t="shared" si="115"/>
        <v>0</v>
      </c>
      <c r="K99" s="13">
        <f t="shared" si="116"/>
        <v>0</v>
      </c>
      <c r="L99" s="13">
        <f t="shared" si="117"/>
        <v>1851.35</v>
      </c>
      <c r="M99" s="222">
        <f t="shared" si="113"/>
        <v>0</v>
      </c>
      <c r="N99" s="321" t="str">
        <f t="shared" si="103"/>
        <v/>
      </c>
      <c r="O99" s="1"/>
      <c r="P99" s="1"/>
      <c r="Q99" s="1"/>
      <c r="R99" s="48"/>
      <c r="T99"/>
    </row>
    <row r="100" spans="1:20">
      <c r="B100" t="str">
        <f t="shared" ref="B100:B101" si="118">IF(F100&gt;=1,C100,"")</f>
        <v/>
      </c>
      <c r="C100" s="366" t="s">
        <v>500</v>
      </c>
      <c r="D100" s="368" t="s">
        <v>501</v>
      </c>
      <c r="E100" s="425"/>
      <c r="F100" s="790">
        <v>0</v>
      </c>
      <c r="G100" s="351">
        <v>1250</v>
      </c>
      <c r="H100" s="13">
        <f t="shared" ref="H100" si="119">G100*(1+$M$1)</f>
        <v>1250</v>
      </c>
      <c r="I100" s="102">
        <f t="shared" ref="I100" si="120">F100*O100</f>
        <v>0</v>
      </c>
      <c r="J100" s="13">
        <f t="shared" ref="J100" si="121">F100*G100</f>
        <v>0</v>
      </c>
      <c r="K100" s="13">
        <f t="shared" ref="K100" si="122">J100*(1+$M$1)</f>
        <v>0</v>
      </c>
      <c r="L100" s="13">
        <f>ROUND(H100*1.25,2)</f>
        <v>1562.5</v>
      </c>
      <c r="M100" s="222">
        <f t="shared" ref="M100" si="123">F100*L100</f>
        <v>0</v>
      </c>
      <c r="N100" s="321" t="str">
        <f t="shared" si="103"/>
        <v/>
      </c>
      <c r="O100" s="1"/>
      <c r="P100" s="1"/>
      <c r="Q100" s="1"/>
      <c r="R100" s="48"/>
      <c r="T100"/>
    </row>
    <row r="101" spans="1:20">
      <c r="B101" t="str">
        <f t="shared" si="118"/>
        <v/>
      </c>
      <c r="C101" s="366" t="s">
        <v>502</v>
      </c>
      <c r="D101" s="368" t="str">
        <f>"Adventure Floor Mat System Extensions - "&amp;'Resilite Mat Cost List'!F15&amp;" Sq Ft of Padding Around Frame"</f>
        <v>Adventure Floor Mat System Extensions - 168 Sq Ft of Padding Around Frame</v>
      </c>
      <c r="E101" s="425"/>
      <c r="F101" s="790">
        <v>0</v>
      </c>
      <c r="G101" s="13">
        <f>'Resilite Mat Cost List'!H15</f>
        <v>2315.04</v>
      </c>
      <c r="H101" s="13">
        <f t="shared" ref="H101" si="124">G101*(1+$M$1)</f>
        <v>2315.04</v>
      </c>
      <c r="I101" s="102">
        <f t="shared" si="84"/>
        <v>0</v>
      </c>
      <c r="J101" s="13">
        <f t="shared" ref="J101" si="125">F101*G101</f>
        <v>0</v>
      </c>
      <c r="K101" s="13">
        <f t="shared" ref="K101" si="126">J101*(1+$M$1)</f>
        <v>0</v>
      </c>
      <c r="L101" s="13">
        <f>'Resilite Mat Cost List'!I15</f>
        <v>3472.5599999999995</v>
      </c>
      <c r="M101" s="222">
        <f t="shared" si="82"/>
        <v>0</v>
      </c>
      <c r="N101" s="321" t="str">
        <f t="shared" si="103"/>
        <v/>
      </c>
      <c r="O101" s="1"/>
      <c r="P101" s="1"/>
      <c r="Q101" s="1" t="s">
        <v>449</v>
      </c>
      <c r="R101" s="48"/>
      <c r="T101"/>
    </row>
    <row r="102" spans="1:20">
      <c r="B102" t="str">
        <f t="shared" ref="B102:B115" si="127">IF(F102&gt;=1,C102,"")</f>
        <v/>
      </c>
      <c r="C102" s="366" t="s">
        <v>503</v>
      </c>
      <c r="D102" s="368" t="s">
        <v>504</v>
      </c>
      <c r="E102" s="425" t="s">
        <v>505</v>
      </c>
      <c r="F102" s="425">
        <v>0</v>
      </c>
      <c r="G102" s="351">
        <v>0</v>
      </c>
      <c r="H102" s="13">
        <f t="shared" si="1"/>
        <v>0</v>
      </c>
      <c r="I102" s="102">
        <f t="shared" si="84"/>
        <v>0</v>
      </c>
      <c r="J102" s="13">
        <f t="shared" ref="J102:J103" si="128">F102*G102</f>
        <v>0</v>
      </c>
      <c r="K102" s="13">
        <f t="shared" ref="K102:K103" si="129">J102*(1+$M$1)</f>
        <v>0</v>
      </c>
      <c r="L102" s="13">
        <f>H102*1.515</f>
        <v>0</v>
      </c>
      <c r="M102" s="222">
        <f t="shared" si="82"/>
        <v>0</v>
      </c>
      <c r="N102" s="321" t="str">
        <f t="shared" si="103"/>
        <v/>
      </c>
      <c r="O102" s="1"/>
      <c r="P102" s="1"/>
      <c r="Q102" s="1" t="s">
        <v>449</v>
      </c>
      <c r="R102" s="48"/>
      <c r="T102"/>
    </row>
    <row r="103" spans="1:20">
      <c r="C103" s="366" t="s">
        <v>506</v>
      </c>
      <c r="D103" s="368" t="s">
        <v>507</v>
      </c>
      <c r="E103" s="425"/>
      <c r="F103" s="425"/>
      <c r="G103" s="351">
        <v>638</v>
      </c>
      <c r="H103" s="13">
        <f t="shared" ref="H103" si="130">G103*(1+$M$1)</f>
        <v>638</v>
      </c>
      <c r="I103" s="102">
        <f t="shared" ref="I103" si="131">F103*O103</f>
        <v>0</v>
      </c>
      <c r="J103" s="13">
        <f t="shared" si="128"/>
        <v>0</v>
      </c>
      <c r="K103" s="13">
        <f t="shared" si="129"/>
        <v>0</v>
      </c>
      <c r="L103" s="13">
        <f t="shared" ref="L103:L110" si="132">ROUND(H103*1.5,2)</f>
        <v>957</v>
      </c>
      <c r="M103" s="222">
        <f t="shared" si="82"/>
        <v>0</v>
      </c>
      <c r="N103" s="321"/>
      <c r="O103" s="1"/>
      <c r="P103" s="1"/>
      <c r="Q103" s="1"/>
      <c r="R103" s="48"/>
      <c r="T103"/>
    </row>
    <row r="104" spans="1:20">
      <c r="B104" t="str">
        <f t="shared" si="127"/>
        <v/>
      </c>
      <c r="C104" s="366" t="s">
        <v>508</v>
      </c>
      <c r="D104" s="368" t="s">
        <v>509</v>
      </c>
      <c r="E104" s="425"/>
      <c r="F104" s="497">
        <v>0</v>
      </c>
      <c r="G104" s="185">
        <v>98</v>
      </c>
      <c r="H104" s="13">
        <f t="shared" ref="H104:H106" si="133">G104*(1+$M$1)</f>
        <v>98</v>
      </c>
      <c r="I104" s="102">
        <f t="shared" si="84"/>
        <v>0</v>
      </c>
      <c r="J104" s="13">
        <f t="shared" ref="J104:J105" si="134">F104*G104</f>
        <v>0</v>
      </c>
      <c r="K104" s="13">
        <f t="shared" ref="K104:K105" si="135">J104*(1+$M$1)</f>
        <v>0</v>
      </c>
      <c r="L104" s="13">
        <f t="shared" si="132"/>
        <v>147</v>
      </c>
      <c r="M104" s="222">
        <f t="shared" si="82"/>
        <v>0</v>
      </c>
      <c r="N104" s="321" t="str">
        <f t="shared" si="103"/>
        <v/>
      </c>
      <c r="O104" s="1"/>
      <c r="P104" s="1"/>
      <c r="Q104" s="1" t="s">
        <v>449</v>
      </c>
      <c r="R104" s="48"/>
      <c r="T104"/>
    </row>
    <row r="105" spans="1:20">
      <c r="B105" t="str">
        <f t="shared" si="127"/>
        <v/>
      </c>
      <c r="C105" s="366" t="s">
        <v>510</v>
      </c>
      <c r="D105" s="368" t="s">
        <v>511</v>
      </c>
      <c r="E105" s="425"/>
      <c r="F105" s="497">
        <v>0</v>
      </c>
      <c r="G105" s="13">
        <v>103</v>
      </c>
      <c r="H105" s="13">
        <f t="shared" si="133"/>
        <v>103</v>
      </c>
      <c r="I105" s="102">
        <f t="shared" si="84"/>
        <v>0</v>
      </c>
      <c r="J105" s="13">
        <f t="shared" si="134"/>
        <v>0</v>
      </c>
      <c r="K105" s="13">
        <f t="shared" si="135"/>
        <v>0</v>
      </c>
      <c r="L105" s="13">
        <f t="shared" si="132"/>
        <v>154.5</v>
      </c>
      <c r="M105" s="222">
        <f t="shared" si="82"/>
        <v>0</v>
      </c>
      <c r="N105" s="321" t="str">
        <f t="shared" si="103"/>
        <v/>
      </c>
      <c r="O105" s="1"/>
      <c r="P105" s="1"/>
      <c r="Q105" s="1" t="s">
        <v>449</v>
      </c>
      <c r="R105" s="48"/>
      <c r="T105"/>
    </row>
    <row r="106" spans="1:20">
      <c r="B106" t="str">
        <f t="shared" si="127"/>
        <v/>
      </c>
      <c r="C106" s="366" t="s">
        <v>512</v>
      </c>
      <c r="D106" s="368" t="s">
        <v>513</v>
      </c>
      <c r="E106" s="425"/>
      <c r="F106" s="497">
        <v>0</v>
      </c>
      <c r="G106" s="13">
        <v>128</v>
      </c>
      <c r="H106" s="13">
        <f t="shared" si="133"/>
        <v>128</v>
      </c>
      <c r="I106" s="102">
        <f t="shared" ref="I106" si="136">F106*O106</f>
        <v>0</v>
      </c>
      <c r="J106" s="13">
        <f t="shared" ref="J106" si="137">F106*G106</f>
        <v>0</v>
      </c>
      <c r="K106" s="13">
        <f t="shared" ref="K106" si="138">J106*(1+$M$1)</f>
        <v>0</v>
      </c>
      <c r="L106" s="13">
        <f t="shared" si="132"/>
        <v>192</v>
      </c>
      <c r="M106" s="222">
        <f t="shared" ref="M106" si="139">F106*L106</f>
        <v>0</v>
      </c>
      <c r="N106" s="321" t="str">
        <f t="shared" si="103"/>
        <v/>
      </c>
      <c r="O106" s="1"/>
      <c r="P106" s="1"/>
      <c r="Q106" s="1"/>
      <c r="R106" s="48"/>
      <c r="T106"/>
    </row>
    <row r="107" spans="1:20">
      <c r="B107" t="str">
        <f t="shared" si="127"/>
        <v/>
      </c>
      <c r="C107" s="366" t="s">
        <v>514</v>
      </c>
      <c r="D107" s="368" t="s">
        <v>515</v>
      </c>
      <c r="E107" s="425"/>
      <c r="F107" s="497">
        <v>0</v>
      </c>
      <c r="G107" s="13">
        <v>55</v>
      </c>
      <c r="H107" s="13">
        <f t="shared" ref="H107" si="140">G107*(1+$M$1)</f>
        <v>55</v>
      </c>
      <c r="I107" s="102">
        <f t="shared" ref="I107:I108" si="141">F107*O107</f>
        <v>0</v>
      </c>
      <c r="J107" s="13">
        <f t="shared" ref="J107" si="142">F107*G107</f>
        <v>0</v>
      </c>
      <c r="K107" s="13">
        <f t="shared" ref="K107" si="143">J107*(1+$M$1)</f>
        <v>0</v>
      </c>
      <c r="L107" s="13">
        <f t="shared" si="132"/>
        <v>82.5</v>
      </c>
      <c r="M107" s="222">
        <f t="shared" si="82"/>
        <v>0</v>
      </c>
      <c r="N107" s="321" t="str">
        <f t="shared" si="103"/>
        <v/>
      </c>
      <c r="O107" s="1"/>
      <c r="P107" s="1"/>
      <c r="Q107" s="1" t="s">
        <v>449</v>
      </c>
      <c r="R107" s="48"/>
      <c r="T107"/>
    </row>
    <row r="108" spans="1:20">
      <c r="B108" t="str">
        <f t="shared" si="127"/>
        <v/>
      </c>
      <c r="C108" s="366" t="s">
        <v>516</v>
      </c>
      <c r="D108" s="368" t="s">
        <v>517</v>
      </c>
      <c r="E108" s="425">
        <f>IF(VLOOKUP!E28="Yes",1,0)</f>
        <v>0</v>
      </c>
      <c r="F108" s="425">
        <f>E108</f>
        <v>0</v>
      </c>
      <c r="G108" s="351">
        <v>290</v>
      </c>
      <c r="H108" s="13">
        <f t="shared" ref="H108" si="144">G108*(1+$M$1)</f>
        <v>290</v>
      </c>
      <c r="I108" s="102">
        <f t="shared" si="141"/>
        <v>0</v>
      </c>
      <c r="J108" s="13">
        <f t="shared" ref="J108" si="145">F108*G108</f>
        <v>0</v>
      </c>
      <c r="K108" s="13">
        <f t="shared" ref="K108" si="146">J108*(1+$M$1)</f>
        <v>0</v>
      </c>
      <c r="L108" s="351">
        <f t="shared" si="132"/>
        <v>435</v>
      </c>
      <c r="M108" s="222">
        <f t="shared" si="82"/>
        <v>0</v>
      </c>
      <c r="N108" s="321" t="str">
        <f t="shared" si="103"/>
        <v/>
      </c>
      <c r="O108" s="1"/>
      <c r="P108" s="1"/>
      <c r="Q108" s="1" t="s">
        <v>449</v>
      </c>
      <c r="R108" s="48"/>
      <c r="T108"/>
    </row>
    <row r="109" spans="1:20">
      <c r="B109" t="str">
        <f t="shared" si="127"/>
        <v/>
      </c>
      <c r="C109" s="366" t="s">
        <v>518</v>
      </c>
      <c r="D109" s="368" t="s">
        <v>519</v>
      </c>
      <c r="E109" s="425"/>
      <c r="F109" s="425">
        <v>0</v>
      </c>
      <c r="G109" s="13">
        <v>339</v>
      </c>
      <c r="H109" s="13">
        <f t="shared" ref="H109" si="147">G109*(1+$M$1)</f>
        <v>339</v>
      </c>
      <c r="I109" s="102">
        <f t="shared" ref="I109" si="148">F109*O109</f>
        <v>0</v>
      </c>
      <c r="J109" s="13">
        <f t="shared" ref="J109" si="149">F109*G109</f>
        <v>0</v>
      </c>
      <c r="K109" s="13">
        <f t="shared" ref="K109" si="150">J109*(1+$M$1)</f>
        <v>0</v>
      </c>
      <c r="L109" s="13">
        <f t="shared" si="132"/>
        <v>508.5</v>
      </c>
      <c r="M109" s="222">
        <f t="shared" ref="M109" si="151">F109*L109</f>
        <v>0</v>
      </c>
      <c r="N109" s="321" t="str">
        <f t="shared" si="103"/>
        <v/>
      </c>
      <c r="O109" s="1"/>
      <c r="P109" s="1"/>
      <c r="Q109" s="1" t="s">
        <v>449</v>
      </c>
      <c r="R109" s="48"/>
      <c r="T109"/>
    </row>
    <row r="110" spans="1:20">
      <c r="B110" t="str">
        <f t="shared" si="127"/>
        <v/>
      </c>
      <c r="C110" s="366" t="s">
        <v>520</v>
      </c>
      <c r="D110" s="367" t="s">
        <v>521</v>
      </c>
      <c r="E110" s="425"/>
      <c r="F110" s="497">
        <v>0</v>
      </c>
      <c r="G110" s="13">
        <v>419.99</v>
      </c>
      <c r="H110" s="13">
        <f t="shared" ref="H110:H113" si="152">G110*(1+$M$1)</f>
        <v>419.99</v>
      </c>
      <c r="I110" s="102">
        <f t="shared" si="84"/>
        <v>0</v>
      </c>
      <c r="J110" s="13">
        <f t="shared" ref="J110" si="153">F110*G110</f>
        <v>0</v>
      </c>
      <c r="K110" s="13">
        <f t="shared" ref="K110" si="154">J110*(1+$M$1)</f>
        <v>0</v>
      </c>
      <c r="L110" s="13">
        <f t="shared" si="132"/>
        <v>629.99</v>
      </c>
      <c r="M110" s="222">
        <f t="shared" si="82"/>
        <v>0</v>
      </c>
      <c r="N110" s="321" t="str">
        <f t="shared" si="103"/>
        <v/>
      </c>
      <c r="O110" s="1"/>
      <c r="P110" s="1"/>
      <c r="Q110" s="1" t="s">
        <v>522</v>
      </c>
      <c r="R110" s="1" t="s">
        <v>422</v>
      </c>
      <c r="T110"/>
    </row>
    <row r="111" spans="1:20">
      <c r="B111" t="str">
        <f t="shared" si="127"/>
        <v/>
      </c>
      <c r="C111" s="366" t="s">
        <v>523</v>
      </c>
      <c r="D111" s="367" t="s">
        <v>524</v>
      </c>
      <c r="E111" s="425"/>
      <c r="F111" s="497">
        <v>0</v>
      </c>
      <c r="G111" s="13">
        <v>445</v>
      </c>
      <c r="H111" s="13">
        <f t="shared" si="152"/>
        <v>445</v>
      </c>
      <c r="I111" s="102">
        <f t="shared" si="84"/>
        <v>0</v>
      </c>
      <c r="J111" s="13">
        <f t="shared" ref="J111:J112" si="155">F111*G111</f>
        <v>0</v>
      </c>
      <c r="K111" s="13">
        <f t="shared" ref="K111:K112" si="156">J111*(1+$M$1)</f>
        <v>0</v>
      </c>
      <c r="L111" s="13">
        <f>ROUND(H111*1.35,2)</f>
        <v>600.75</v>
      </c>
      <c r="M111" s="222">
        <f t="shared" si="82"/>
        <v>0</v>
      </c>
      <c r="N111" s="321" t="str">
        <f t="shared" si="103"/>
        <v/>
      </c>
      <c r="O111" s="1"/>
      <c r="P111" s="1"/>
      <c r="Q111" s="1" t="s">
        <v>522</v>
      </c>
      <c r="R111" s="1" t="s">
        <v>422</v>
      </c>
      <c r="T111"/>
    </row>
    <row r="112" spans="1:20">
      <c r="B112" t="str">
        <f t="shared" si="127"/>
        <v/>
      </c>
      <c r="C112" s="366" t="s">
        <v>525</v>
      </c>
      <c r="D112" s="367" t="s">
        <v>526</v>
      </c>
      <c r="E112" s="425"/>
      <c r="F112" s="497">
        <v>0</v>
      </c>
      <c r="G112" s="13">
        <v>879.99</v>
      </c>
      <c r="H112" s="13">
        <f t="shared" si="152"/>
        <v>879.99</v>
      </c>
      <c r="I112" s="102">
        <f t="shared" si="84"/>
        <v>0</v>
      </c>
      <c r="J112" s="13">
        <f t="shared" si="155"/>
        <v>0</v>
      </c>
      <c r="K112" s="13">
        <f t="shared" si="156"/>
        <v>0</v>
      </c>
      <c r="L112" s="13">
        <f>ROUND(H112*1.35,2)</f>
        <v>1187.99</v>
      </c>
      <c r="M112" s="222">
        <f t="shared" si="82"/>
        <v>0</v>
      </c>
      <c r="N112" s="321" t="str">
        <f t="shared" si="103"/>
        <v/>
      </c>
      <c r="O112" s="1"/>
      <c r="P112" s="1"/>
      <c r="Q112" s="1" t="s">
        <v>522</v>
      </c>
      <c r="R112" s="1" t="s">
        <v>422</v>
      </c>
      <c r="T112"/>
    </row>
    <row r="113" spans="2:20">
      <c r="B113" t="str">
        <f t="shared" si="127"/>
        <v/>
      </c>
      <c r="C113" s="366" t="s">
        <v>527</v>
      </c>
      <c r="D113" s="439" t="s">
        <v>528</v>
      </c>
      <c r="E113" s="425"/>
      <c r="F113" s="497">
        <v>0</v>
      </c>
      <c r="G113" s="13">
        <v>184</v>
      </c>
      <c r="H113" s="13">
        <f t="shared" si="152"/>
        <v>184</v>
      </c>
      <c r="I113" s="102">
        <f t="shared" si="84"/>
        <v>0</v>
      </c>
      <c r="J113" s="13">
        <f t="shared" ref="J113" si="157">F113*G113</f>
        <v>0</v>
      </c>
      <c r="K113" s="13">
        <f t="shared" ref="K113" si="158">J113*(1+$M$1)</f>
        <v>0</v>
      </c>
      <c r="L113" s="13">
        <f>ROUND(H113*1.5,2)</f>
        <v>276</v>
      </c>
      <c r="M113" s="222">
        <f t="shared" si="82"/>
        <v>0</v>
      </c>
      <c r="N113" s="321" t="str">
        <f t="shared" si="103"/>
        <v/>
      </c>
      <c r="O113" s="1"/>
      <c r="P113" s="1"/>
      <c r="Q113" s="1" t="s">
        <v>449</v>
      </c>
      <c r="R113" s="48"/>
      <c r="T113"/>
    </row>
    <row r="114" spans="2:20">
      <c r="B114" t="str">
        <f t="shared" si="127"/>
        <v/>
      </c>
      <c r="C114" s="366" t="s">
        <v>529</v>
      </c>
      <c r="D114" s="367" t="s">
        <v>530</v>
      </c>
      <c r="E114" s="425"/>
      <c r="F114" s="497">
        <v>0</v>
      </c>
      <c r="G114" s="13">
        <v>211</v>
      </c>
      <c r="H114" s="13">
        <f t="shared" ref="H114" si="159">G114*(1+$M$1)</f>
        <v>211</v>
      </c>
      <c r="I114" s="102">
        <f t="shared" si="84"/>
        <v>0</v>
      </c>
      <c r="J114" s="13">
        <f t="shared" ref="J114" si="160">F114*G114</f>
        <v>0</v>
      </c>
      <c r="K114" s="13">
        <f t="shared" ref="K114" si="161">J114*(1+$M$1)</f>
        <v>0</v>
      </c>
      <c r="L114" s="13">
        <f>ROUND(H114*1.5,2)</f>
        <v>316.5</v>
      </c>
      <c r="M114" s="222">
        <f t="shared" si="82"/>
        <v>0</v>
      </c>
      <c r="N114" s="321" t="str">
        <f t="shared" si="103"/>
        <v/>
      </c>
      <c r="O114" s="1"/>
      <c r="P114" s="1"/>
      <c r="Q114" s="1" t="s">
        <v>449</v>
      </c>
      <c r="R114" s="48"/>
      <c r="T114"/>
    </row>
    <row r="115" spans="2:20">
      <c r="B115" t="str">
        <f t="shared" si="127"/>
        <v/>
      </c>
      <c r="C115" s="366" t="s">
        <v>531</v>
      </c>
      <c r="D115" s="368" t="s">
        <v>532</v>
      </c>
      <c r="E115" s="425"/>
      <c r="F115" s="497">
        <v>0</v>
      </c>
      <c r="G115" s="13">
        <v>2553</v>
      </c>
      <c r="H115" s="13">
        <f t="shared" ref="H115:H123" si="162">G115*(1+$M$1)</f>
        <v>2553</v>
      </c>
      <c r="I115" s="102">
        <f t="shared" si="84"/>
        <v>0</v>
      </c>
      <c r="J115" s="13">
        <f t="shared" ref="J115" si="163">F115*G115</f>
        <v>0</v>
      </c>
      <c r="K115" s="13">
        <f t="shared" ref="K115:K123" si="164">J115*(1+$M$1)</f>
        <v>0</v>
      </c>
      <c r="L115" s="13">
        <f>ROUND(H115*(1.2),2)</f>
        <v>3063.6</v>
      </c>
      <c r="M115" s="219">
        <f t="shared" si="82"/>
        <v>0</v>
      </c>
      <c r="N115" s="321" t="str">
        <f t="shared" si="103"/>
        <v/>
      </c>
      <c r="O115" s="1"/>
      <c r="P115" s="1"/>
      <c r="Q115" s="1" t="s">
        <v>449</v>
      </c>
      <c r="R115" s="48"/>
      <c r="T115"/>
    </row>
    <row r="116" spans="2:20">
      <c r="B116" s="53"/>
      <c r="C116" s="366" t="s">
        <v>533</v>
      </c>
      <c r="D116" s="456" t="s">
        <v>534</v>
      </c>
      <c r="E116" s="425"/>
      <c r="F116" s="497">
        <v>0</v>
      </c>
      <c r="G116" s="13">
        <v>2345</v>
      </c>
      <c r="H116" s="13">
        <f t="shared" si="162"/>
        <v>2345</v>
      </c>
      <c r="I116" s="102">
        <f t="shared" si="84"/>
        <v>0</v>
      </c>
      <c r="J116" s="13">
        <f t="shared" ref="J116" si="165">F116*G116</f>
        <v>0</v>
      </c>
      <c r="K116" s="13">
        <f t="shared" si="164"/>
        <v>0</v>
      </c>
      <c r="L116" s="13">
        <f>ROUND(H116*(1.35),2)</f>
        <v>3165.75</v>
      </c>
      <c r="M116" s="219">
        <f t="shared" si="82"/>
        <v>0</v>
      </c>
      <c r="N116" s="321" t="str">
        <f t="shared" si="103"/>
        <v/>
      </c>
      <c r="O116" s="1">
        <v>130</v>
      </c>
      <c r="P116" s="1"/>
      <c r="Q116" s="1" t="s">
        <v>449</v>
      </c>
      <c r="R116" s="48"/>
      <c r="T116"/>
    </row>
    <row r="117" spans="2:20">
      <c r="B117" s="53" t="str">
        <f>IF(F117&gt;=1,C117,"")</f>
        <v/>
      </c>
      <c r="C117" s="366" t="s">
        <v>535</v>
      </c>
      <c r="D117" s="368" t="s">
        <v>536</v>
      </c>
      <c r="E117" s="425"/>
      <c r="F117" s="497">
        <v>0</v>
      </c>
      <c r="G117" s="13">
        <v>1552</v>
      </c>
      <c r="H117" s="13">
        <f t="shared" si="162"/>
        <v>1552</v>
      </c>
      <c r="I117" s="102">
        <f t="shared" si="84"/>
        <v>0</v>
      </c>
      <c r="J117" s="13">
        <f t="shared" ref="J117" si="166">F117*G117</f>
        <v>0</v>
      </c>
      <c r="K117" s="13">
        <f t="shared" si="164"/>
        <v>0</v>
      </c>
      <c r="L117" s="13">
        <f t="shared" ref="L117:L122" si="167">ROUND(H117*(1.35),2)</f>
        <v>2095.1999999999998</v>
      </c>
      <c r="M117" s="219">
        <f t="shared" si="82"/>
        <v>0</v>
      </c>
      <c r="N117" s="321" t="str">
        <f t="shared" si="103"/>
        <v/>
      </c>
      <c r="O117" s="1">
        <v>75</v>
      </c>
      <c r="P117" s="1"/>
      <c r="Q117" s="1" t="s">
        <v>449</v>
      </c>
      <c r="R117" s="48"/>
      <c r="T117"/>
    </row>
    <row r="118" spans="2:20">
      <c r="B118" s="53" t="str">
        <f>IF(F118&gt;=1,C118,"")</f>
        <v/>
      </c>
      <c r="C118" s="366" t="s">
        <v>537</v>
      </c>
      <c r="D118" s="368" t="s">
        <v>538</v>
      </c>
      <c r="E118" s="425"/>
      <c r="F118" s="497">
        <v>0</v>
      </c>
      <c r="G118" s="13">
        <v>1007</v>
      </c>
      <c r="H118" s="13">
        <f t="shared" si="162"/>
        <v>1007</v>
      </c>
      <c r="I118" s="102">
        <f t="shared" si="84"/>
        <v>0</v>
      </c>
      <c r="J118" s="13">
        <f t="shared" ref="J118" si="168">F118*G118</f>
        <v>0</v>
      </c>
      <c r="K118" s="13">
        <f t="shared" si="164"/>
        <v>0</v>
      </c>
      <c r="L118" s="13">
        <f t="shared" si="167"/>
        <v>1359.45</v>
      </c>
      <c r="M118" s="219">
        <f t="shared" si="82"/>
        <v>0</v>
      </c>
      <c r="N118" s="321" t="str">
        <f t="shared" si="103"/>
        <v/>
      </c>
      <c r="O118" s="1">
        <v>55</v>
      </c>
      <c r="P118" s="1"/>
      <c r="Q118" s="1" t="s">
        <v>449</v>
      </c>
      <c r="R118" s="48"/>
      <c r="T118"/>
    </row>
    <row r="119" spans="2:20">
      <c r="B119" s="53"/>
      <c r="C119" s="366" t="s">
        <v>539</v>
      </c>
      <c r="D119" s="368" t="s">
        <v>540</v>
      </c>
      <c r="E119" s="425"/>
      <c r="F119" s="497">
        <v>0</v>
      </c>
      <c r="G119" s="13">
        <v>1315</v>
      </c>
      <c r="H119" s="13">
        <f t="shared" si="162"/>
        <v>1315</v>
      </c>
      <c r="I119" s="102">
        <f t="shared" ref="I119" si="169">F119*O119</f>
        <v>0</v>
      </c>
      <c r="J119" s="13">
        <f t="shared" ref="J119" si="170">F119*G119</f>
        <v>0</v>
      </c>
      <c r="K119" s="13">
        <f t="shared" si="164"/>
        <v>0</v>
      </c>
      <c r="L119" s="13">
        <f t="shared" si="167"/>
        <v>1775.25</v>
      </c>
      <c r="M119" s="219">
        <f t="shared" ref="M119" si="171">F119*L119</f>
        <v>0</v>
      </c>
      <c r="N119" s="321" t="str">
        <f t="shared" si="103"/>
        <v/>
      </c>
      <c r="O119" s="1">
        <v>70</v>
      </c>
      <c r="P119" s="1"/>
      <c r="Q119" s="1" t="s">
        <v>449</v>
      </c>
      <c r="R119" s="48"/>
      <c r="T119"/>
    </row>
    <row r="120" spans="2:20">
      <c r="B120" s="53"/>
      <c r="C120" s="366" t="s">
        <v>541</v>
      </c>
      <c r="D120" s="368" t="s">
        <v>542</v>
      </c>
      <c r="E120" s="425"/>
      <c r="F120" s="497">
        <v>0</v>
      </c>
      <c r="G120" s="13">
        <v>1216.8</v>
      </c>
      <c r="H120" s="13">
        <f t="shared" ref="H120:H122" si="172">G120*(1+$M$1)</f>
        <v>1216.8</v>
      </c>
      <c r="I120" s="102">
        <f t="shared" ref="I120:I122" si="173">F120*O120</f>
        <v>0</v>
      </c>
      <c r="J120" s="13">
        <f t="shared" ref="J120:J122" si="174">F120*G120</f>
        <v>0</v>
      </c>
      <c r="K120" s="13">
        <f t="shared" ref="K120:K122" si="175">J120*(1+$M$1)</f>
        <v>0</v>
      </c>
      <c r="L120" s="13">
        <f t="shared" si="167"/>
        <v>1642.68</v>
      </c>
      <c r="M120" s="219">
        <f t="shared" ref="M120:M122" si="176">F120*L120</f>
        <v>0</v>
      </c>
      <c r="N120" s="321"/>
      <c r="O120" s="1">
        <v>100</v>
      </c>
      <c r="P120" s="1"/>
      <c r="Q120" s="1"/>
      <c r="R120" s="48"/>
      <c r="T120"/>
    </row>
    <row r="121" spans="2:20">
      <c r="B121" s="53"/>
      <c r="C121" s="366" t="s">
        <v>543</v>
      </c>
      <c r="D121" s="368" t="s">
        <v>544</v>
      </c>
      <c r="E121" s="425"/>
      <c r="F121" s="497">
        <v>0</v>
      </c>
      <c r="G121" s="13">
        <v>1439.2</v>
      </c>
      <c r="H121" s="13">
        <f t="shared" si="172"/>
        <v>1439.2</v>
      </c>
      <c r="I121" s="102">
        <f t="shared" si="173"/>
        <v>0</v>
      </c>
      <c r="J121" s="13">
        <f t="shared" si="174"/>
        <v>0</v>
      </c>
      <c r="K121" s="13">
        <f t="shared" si="175"/>
        <v>0</v>
      </c>
      <c r="L121" s="13">
        <f t="shared" si="167"/>
        <v>1942.92</v>
      </c>
      <c r="M121" s="219">
        <f t="shared" si="176"/>
        <v>0</v>
      </c>
      <c r="N121" s="321"/>
      <c r="O121" s="1">
        <v>200</v>
      </c>
      <c r="P121" s="1"/>
      <c r="Q121" s="1"/>
      <c r="R121" s="48"/>
      <c r="T121"/>
    </row>
    <row r="122" spans="2:20">
      <c r="B122" s="53"/>
      <c r="C122" s="366" t="s">
        <v>545</v>
      </c>
      <c r="D122" s="368" t="s">
        <v>546</v>
      </c>
      <c r="E122" s="425"/>
      <c r="F122" s="497">
        <v>0</v>
      </c>
      <c r="G122" s="13">
        <v>1640</v>
      </c>
      <c r="H122" s="13">
        <f t="shared" si="172"/>
        <v>1640</v>
      </c>
      <c r="I122" s="102">
        <f t="shared" si="173"/>
        <v>0</v>
      </c>
      <c r="J122" s="13">
        <f t="shared" si="174"/>
        <v>0</v>
      </c>
      <c r="K122" s="13">
        <f t="shared" si="175"/>
        <v>0</v>
      </c>
      <c r="L122" s="13">
        <f t="shared" si="167"/>
        <v>2214</v>
      </c>
      <c r="M122" s="219">
        <f t="shared" si="176"/>
        <v>0</v>
      </c>
      <c r="N122" s="321"/>
      <c r="O122" s="1">
        <v>250</v>
      </c>
      <c r="P122" s="1"/>
      <c r="Q122" s="1"/>
      <c r="R122" s="48"/>
      <c r="T122"/>
    </row>
    <row r="123" spans="2:20">
      <c r="B123" s="53"/>
      <c r="C123" s="366" t="s">
        <v>547</v>
      </c>
      <c r="D123" s="368" t="s">
        <v>548</v>
      </c>
      <c r="E123" s="425"/>
      <c r="F123" s="497">
        <v>0</v>
      </c>
      <c r="G123" s="13">
        <v>1317</v>
      </c>
      <c r="H123" s="13">
        <f t="shared" si="162"/>
        <v>1317</v>
      </c>
      <c r="I123" s="102">
        <f t="shared" si="84"/>
        <v>0</v>
      </c>
      <c r="J123" s="13">
        <f t="shared" ref="J123" si="177">F123*G123</f>
        <v>0</v>
      </c>
      <c r="K123" s="13">
        <f t="shared" si="164"/>
        <v>0</v>
      </c>
      <c r="L123" s="13">
        <f>ROUND(H123*(1.4),2)</f>
        <v>1843.8</v>
      </c>
      <c r="M123" s="219">
        <f t="shared" si="82"/>
        <v>0</v>
      </c>
      <c r="N123" s="321" t="str">
        <f t="shared" si="103"/>
        <v/>
      </c>
      <c r="O123" s="1"/>
      <c r="P123" s="1"/>
      <c r="Q123" s="1" t="s">
        <v>449</v>
      </c>
      <c r="R123" s="48"/>
      <c r="T123"/>
    </row>
    <row r="124" spans="2:20">
      <c r="B124" t="str">
        <f>IF(F124&gt;=1,C124,"")</f>
        <v/>
      </c>
      <c r="C124" s="366" t="s">
        <v>549</v>
      </c>
      <c r="D124" s="368" t="s">
        <v>550</v>
      </c>
      <c r="E124" s="425"/>
      <c r="F124" s="497">
        <v>0</v>
      </c>
      <c r="G124" s="13">
        <f>563*1.199</f>
        <v>675.03700000000003</v>
      </c>
      <c r="H124" s="13">
        <f t="shared" ref="H124:H125" si="178">G124*(1+$M$1)</f>
        <v>675.03700000000003</v>
      </c>
      <c r="I124" s="102">
        <f t="shared" si="84"/>
        <v>0</v>
      </c>
      <c r="J124" s="13">
        <f t="shared" ref="J124:J125" si="179">F124*G124</f>
        <v>0</v>
      </c>
      <c r="K124" s="13">
        <f t="shared" ref="K124:K125" si="180">J124*(1+$M$1)</f>
        <v>0</v>
      </c>
      <c r="L124" s="351">
        <v>1266.75</v>
      </c>
      <c r="M124" s="219">
        <f t="shared" ref="M124:M161" si="181">F124*L124</f>
        <v>0</v>
      </c>
      <c r="N124" s="321" t="str">
        <f t="shared" si="103"/>
        <v/>
      </c>
      <c r="O124" s="1"/>
      <c r="P124" s="1"/>
      <c r="Q124" s="1" t="s">
        <v>449</v>
      </c>
      <c r="R124" s="48"/>
      <c r="T124"/>
    </row>
    <row r="125" spans="2:20">
      <c r="B125" t="str">
        <f>IF(F125&gt;=1,C125,"")</f>
        <v/>
      </c>
      <c r="C125" s="366" t="s">
        <v>551</v>
      </c>
      <c r="D125" s="368" t="s">
        <v>552</v>
      </c>
      <c r="E125" s="425"/>
      <c r="F125" s="497">
        <v>0</v>
      </c>
      <c r="G125" s="13">
        <f>344*1.199</f>
        <v>412.45600000000002</v>
      </c>
      <c r="H125" s="13">
        <f t="shared" si="178"/>
        <v>412.45600000000002</v>
      </c>
      <c r="I125" s="102">
        <f t="shared" si="84"/>
        <v>0</v>
      </c>
      <c r="J125" s="13">
        <f t="shared" si="179"/>
        <v>0</v>
      </c>
      <c r="K125" s="13">
        <f t="shared" si="180"/>
        <v>0</v>
      </c>
      <c r="L125" s="351">
        <v>774</v>
      </c>
      <c r="M125" s="219">
        <f t="shared" si="181"/>
        <v>0</v>
      </c>
      <c r="N125" s="321" t="str">
        <f t="shared" si="103"/>
        <v/>
      </c>
      <c r="O125" s="1"/>
      <c r="P125" s="1"/>
      <c r="Q125" s="1" t="s">
        <v>449</v>
      </c>
      <c r="R125" s="48"/>
      <c r="T125"/>
    </row>
    <row r="126" spans="2:20">
      <c r="C126" s="366" t="s">
        <v>512</v>
      </c>
      <c r="D126" s="368" t="s">
        <v>513</v>
      </c>
      <c r="E126" s="425"/>
      <c r="F126" s="497">
        <v>0</v>
      </c>
      <c r="G126" s="13"/>
      <c r="H126" s="13"/>
      <c r="I126" s="102"/>
      <c r="J126" s="13"/>
      <c r="K126" s="13"/>
      <c r="L126" s="13"/>
      <c r="M126" s="219"/>
      <c r="N126" s="321" t="str">
        <f t="shared" si="103"/>
        <v/>
      </c>
      <c r="O126" s="1"/>
      <c r="P126" s="1"/>
      <c r="Q126" s="1"/>
      <c r="R126" s="48"/>
      <c r="T126"/>
    </row>
    <row r="127" spans="2:20">
      <c r="B127" t="str">
        <f>IF(F127&gt;=1,C127,"")</f>
        <v/>
      </c>
      <c r="C127" s="487">
        <v>24722</v>
      </c>
      <c r="D127" s="368" t="s">
        <v>553</v>
      </c>
      <c r="E127" s="425"/>
      <c r="F127" s="497">
        <v>0</v>
      </c>
      <c r="G127" s="13">
        <v>125</v>
      </c>
      <c r="H127" s="13">
        <f t="shared" ref="H127:H128" si="182">G127*(1+$M$1)</f>
        <v>125</v>
      </c>
      <c r="I127" s="102">
        <f t="shared" ref="I127:I128" si="183">F127*O127</f>
        <v>0</v>
      </c>
      <c r="J127" s="13">
        <f t="shared" ref="J127:J128" si="184">F127*G127</f>
        <v>0</v>
      </c>
      <c r="K127" s="13">
        <f t="shared" ref="K127:K128" si="185">J127*(1+$M$1)</f>
        <v>0</v>
      </c>
      <c r="L127" s="13">
        <f t="shared" ref="L127:L128" si="186">ROUND(H127*(1.35),2)</f>
        <v>168.75</v>
      </c>
      <c r="M127" s="219">
        <f t="shared" ref="M127:M128" si="187">F127*L127</f>
        <v>0</v>
      </c>
      <c r="N127" s="321" t="str">
        <f t="shared" si="103"/>
        <v/>
      </c>
      <c r="O127" s="1"/>
      <c r="P127" s="1"/>
      <c r="Q127" s="1" t="s">
        <v>449</v>
      </c>
      <c r="R127" s="48"/>
      <c r="T127"/>
    </row>
    <row r="128" spans="2:20">
      <c r="B128" t="str">
        <f>IF(F128&gt;=1,C128,"")</f>
        <v/>
      </c>
      <c r="C128" s="487">
        <v>48722</v>
      </c>
      <c r="D128" s="368" t="s">
        <v>554</v>
      </c>
      <c r="E128" s="425"/>
      <c r="F128" s="497">
        <v>0</v>
      </c>
      <c r="G128" s="13">
        <v>202</v>
      </c>
      <c r="H128" s="13">
        <f t="shared" si="182"/>
        <v>202</v>
      </c>
      <c r="I128" s="102">
        <f t="shared" si="183"/>
        <v>0</v>
      </c>
      <c r="J128" s="13">
        <f t="shared" si="184"/>
        <v>0</v>
      </c>
      <c r="K128" s="13">
        <f t="shared" si="185"/>
        <v>0</v>
      </c>
      <c r="L128" s="13">
        <f t="shared" si="186"/>
        <v>272.7</v>
      </c>
      <c r="M128" s="219">
        <f t="shared" si="187"/>
        <v>0</v>
      </c>
      <c r="N128" s="321" t="str">
        <f t="shared" si="103"/>
        <v/>
      </c>
      <c r="O128" s="1"/>
      <c r="P128" s="1"/>
      <c r="Q128" s="1" t="s">
        <v>555</v>
      </c>
      <c r="R128" s="48"/>
      <c r="T128"/>
    </row>
    <row r="129" spans="2:20">
      <c r="C129" s="374"/>
      <c r="D129" s="375" t="s">
        <v>556</v>
      </c>
      <c r="E129" s="425"/>
      <c r="F129" s="497">
        <v>0</v>
      </c>
      <c r="G129" s="13"/>
      <c r="H129" s="13"/>
      <c r="I129" s="102"/>
      <c r="J129" s="13"/>
      <c r="K129" s="13"/>
      <c r="L129" s="13"/>
      <c r="M129" s="219">
        <f t="shared" si="181"/>
        <v>0</v>
      </c>
      <c r="N129" s="321"/>
      <c r="O129" s="1"/>
      <c r="P129" s="1"/>
      <c r="Q129" s="1" t="s">
        <v>555</v>
      </c>
      <c r="R129" s="48"/>
      <c r="T129"/>
    </row>
    <row r="130" spans="2:20">
      <c r="B130" t="str">
        <f t="shared" ref="B130:B160" si="188">IF(F130&gt;=1,C130,"")</f>
        <v/>
      </c>
      <c r="C130" s="143" t="s">
        <v>557</v>
      </c>
      <c r="D130" s="292" t="s">
        <v>558</v>
      </c>
      <c r="E130" s="425"/>
      <c r="F130" s="497">
        <v>0</v>
      </c>
      <c r="G130" s="13">
        <v>39.99</v>
      </c>
      <c r="H130" s="13">
        <f t="shared" ref="H130:H131" si="189">G130*(1+$M$1)</f>
        <v>39.99</v>
      </c>
      <c r="I130" s="102">
        <f t="shared" ref="I130:I175" si="190">F130*O130</f>
        <v>0</v>
      </c>
      <c r="J130" s="13">
        <f t="shared" ref="J130:J138" si="191">F130*G130</f>
        <v>0</v>
      </c>
      <c r="K130" s="13">
        <f t="shared" ref="K130:K138" si="192">J130*(1+$M$1)</f>
        <v>0</v>
      </c>
      <c r="L130" s="13">
        <f>ROUND(H130*(1.5),2)</f>
        <v>59.99</v>
      </c>
      <c r="M130" s="219">
        <f t="shared" si="181"/>
        <v>0</v>
      </c>
      <c r="N130" s="321" t="str">
        <f t="shared" ref="N130:N175" si="193">IFERROR((M130/K130)-1,"")</f>
        <v/>
      </c>
      <c r="O130" s="1">
        <v>4</v>
      </c>
      <c r="P130" s="1"/>
      <c r="Q130" s="1" t="s">
        <v>421</v>
      </c>
      <c r="R130" s="1" t="s">
        <v>422</v>
      </c>
      <c r="T130"/>
    </row>
    <row r="131" spans="2:20">
      <c r="B131" t="str">
        <f t="shared" si="188"/>
        <v/>
      </c>
      <c r="C131" s="372" t="s">
        <v>559</v>
      </c>
      <c r="D131" s="658" t="s">
        <v>560</v>
      </c>
      <c r="E131" s="425"/>
      <c r="F131" s="497">
        <v>0</v>
      </c>
      <c r="G131" s="13">
        <v>400</v>
      </c>
      <c r="H131" s="13">
        <f t="shared" si="189"/>
        <v>400</v>
      </c>
      <c r="I131" s="102">
        <f t="shared" ref="I131" si="194">F131*O131</f>
        <v>0</v>
      </c>
      <c r="J131" s="13">
        <f t="shared" ref="J131" si="195">F131*G131</f>
        <v>0</v>
      </c>
      <c r="K131" s="13">
        <f t="shared" ref="K131" si="196">J131*(1+$M$1)</f>
        <v>0</v>
      </c>
      <c r="L131" s="13">
        <v>1176.29</v>
      </c>
      <c r="M131" s="219">
        <f t="shared" si="181"/>
        <v>0</v>
      </c>
      <c r="N131" s="321" t="str">
        <f t="shared" si="193"/>
        <v/>
      </c>
      <c r="O131" s="1"/>
      <c r="P131" s="1"/>
      <c r="Q131" s="1"/>
      <c r="R131" s="1" t="s">
        <v>422</v>
      </c>
      <c r="T131"/>
    </row>
    <row r="132" spans="2:20">
      <c r="B132" t="str">
        <f t="shared" si="188"/>
        <v/>
      </c>
      <c r="C132" s="143" t="s">
        <v>561</v>
      </c>
      <c r="D132" s="292" t="s">
        <v>562</v>
      </c>
      <c r="E132" s="425"/>
      <c r="F132" s="497">
        <v>0</v>
      </c>
      <c r="G132" s="13">
        <v>206.45</v>
      </c>
      <c r="H132" s="13">
        <f t="shared" ref="H132:H138" si="197">G132*(1+$M$1)</f>
        <v>206.45</v>
      </c>
      <c r="I132" s="102">
        <f t="shared" si="190"/>
        <v>0</v>
      </c>
      <c r="J132" s="13">
        <f t="shared" si="191"/>
        <v>0</v>
      </c>
      <c r="K132" s="13">
        <f t="shared" si="192"/>
        <v>0</v>
      </c>
      <c r="L132" s="13">
        <f t="shared" ref="L132:L138" si="198">ROUND(H132*(1.5),2)</f>
        <v>309.68</v>
      </c>
      <c r="M132" s="219">
        <f t="shared" si="181"/>
        <v>0</v>
      </c>
      <c r="N132" s="321" t="str">
        <f t="shared" si="193"/>
        <v/>
      </c>
      <c r="O132" s="1">
        <v>26.8</v>
      </c>
      <c r="P132" s="1"/>
      <c r="Q132" s="1" t="s">
        <v>421</v>
      </c>
      <c r="R132" s="1" t="s">
        <v>422</v>
      </c>
      <c r="T132"/>
    </row>
    <row r="133" spans="2:20">
      <c r="B133" t="str">
        <f t="shared" si="188"/>
        <v/>
      </c>
      <c r="C133" s="370" t="s">
        <v>563</v>
      </c>
      <c r="D133" s="292" t="s">
        <v>564</v>
      </c>
      <c r="E133" s="425"/>
      <c r="F133" s="497">
        <v>0</v>
      </c>
      <c r="G133" s="13">
        <v>89.99</v>
      </c>
      <c r="H133" s="13">
        <f t="shared" si="197"/>
        <v>89.99</v>
      </c>
      <c r="I133" s="102">
        <f t="shared" si="190"/>
        <v>0</v>
      </c>
      <c r="J133" s="13">
        <f t="shared" si="191"/>
        <v>0</v>
      </c>
      <c r="K133" s="13">
        <f t="shared" si="192"/>
        <v>0</v>
      </c>
      <c r="L133" s="13">
        <f t="shared" si="198"/>
        <v>134.99</v>
      </c>
      <c r="M133" s="219">
        <f t="shared" si="181"/>
        <v>0</v>
      </c>
      <c r="N133" s="321" t="str">
        <f t="shared" si="193"/>
        <v/>
      </c>
      <c r="O133" s="1">
        <v>6</v>
      </c>
      <c r="P133" s="1"/>
      <c r="Q133" s="1" t="s">
        <v>421</v>
      </c>
      <c r="R133" s="1" t="s">
        <v>422</v>
      </c>
      <c r="T133"/>
    </row>
    <row r="134" spans="2:20">
      <c r="B134" t="str">
        <f t="shared" si="188"/>
        <v/>
      </c>
      <c r="C134" s="143" t="s">
        <v>565</v>
      </c>
      <c r="D134" s="292" t="s">
        <v>566</v>
      </c>
      <c r="E134" s="425"/>
      <c r="F134" s="497">
        <v>0</v>
      </c>
      <c r="G134" s="13">
        <v>21.69</v>
      </c>
      <c r="H134" s="13">
        <f t="shared" si="197"/>
        <v>21.69</v>
      </c>
      <c r="I134" s="102">
        <f t="shared" si="190"/>
        <v>0</v>
      </c>
      <c r="J134" s="13">
        <f t="shared" si="191"/>
        <v>0</v>
      </c>
      <c r="K134" s="13">
        <f t="shared" si="192"/>
        <v>0</v>
      </c>
      <c r="L134" s="13">
        <f t="shared" si="198"/>
        <v>32.54</v>
      </c>
      <c r="M134" s="219">
        <f t="shared" si="181"/>
        <v>0</v>
      </c>
      <c r="N134" s="321" t="str">
        <f t="shared" si="193"/>
        <v/>
      </c>
      <c r="O134" s="1">
        <v>4</v>
      </c>
      <c r="P134" s="1"/>
      <c r="Q134" s="1" t="s">
        <v>421</v>
      </c>
      <c r="R134" s="1" t="s">
        <v>422</v>
      </c>
      <c r="T134"/>
    </row>
    <row r="135" spans="2:20">
      <c r="B135" t="str">
        <f t="shared" si="188"/>
        <v/>
      </c>
      <c r="C135" s="143" t="s">
        <v>567</v>
      </c>
      <c r="D135" s="292" t="s">
        <v>568</v>
      </c>
      <c r="E135" s="425"/>
      <c r="F135" s="497">
        <v>0</v>
      </c>
      <c r="G135" s="13">
        <v>41.31</v>
      </c>
      <c r="H135" s="13">
        <f t="shared" si="197"/>
        <v>41.31</v>
      </c>
      <c r="I135" s="102">
        <f t="shared" si="190"/>
        <v>0</v>
      </c>
      <c r="J135" s="13">
        <f t="shared" si="191"/>
        <v>0</v>
      </c>
      <c r="K135" s="13">
        <f t="shared" si="192"/>
        <v>0</v>
      </c>
      <c r="L135" s="13">
        <f t="shared" si="198"/>
        <v>61.97</v>
      </c>
      <c r="M135" s="219">
        <f t="shared" si="181"/>
        <v>0</v>
      </c>
      <c r="N135" s="321" t="str">
        <f t="shared" si="193"/>
        <v/>
      </c>
      <c r="O135" s="1">
        <v>6</v>
      </c>
      <c r="P135" s="1"/>
      <c r="Q135" s="1" t="s">
        <v>421</v>
      </c>
      <c r="R135" s="1" t="s">
        <v>422</v>
      </c>
      <c r="T135"/>
    </row>
    <row r="136" spans="2:20">
      <c r="B136" t="str">
        <f t="shared" si="188"/>
        <v/>
      </c>
      <c r="C136" s="143" t="s">
        <v>569</v>
      </c>
      <c r="D136" s="292" t="s">
        <v>570</v>
      </c>
      <c r="E136" s="425"/>
      <c r="F136" s="497">
        <v>0</v>
      </c>
      <c r="G136" s="13">
        <v>30.37</v>
      </c>
      <c r="H136" s="13">
        <f t="shared" si="197"/>
        <v>30.37</v>
      </c>
      <c r="I136" s="102">
        <f t="shared" si="190"/>
        <v>0</v>
      </c>
      <c r="J136" s="13">
        <f t="shared" si="191"/>
        <v>0</v>
      </c>
      <c r="K136" s="13">
        <f t="shared" si="192"/>
        <v>0</v>
      </c>
      <c r="L136" s="13">
        <f t="shared" si="198"/>
        <v>45.56</v>
      </c>
      <c r="M136" s="219">
        <f t="shared" si="181"/>
        <v>0</v>
      </c>
      <c r="N136" s="321" t="str">
        <f t="shared" si="193"/>
        <v/>
      </c>
      <c r="O136" s="1">
        <v>4</v>
      </c>
      <c r="P136" s="1"/>
      <c r="Q136" s="1" t="s">
        <v>421</v>
      </c>
      <c r="R136" s="1" t="s">
        <v>422</v>
      </c>
      <c r="T136"/>
    </row>
    <row r="137" spans="2:20">
      <c r="B137" t="str">
        <f t="shared" si="188"/>
        <v/>
      </c>
      <c r="C137" s="143" t="s">
        <v>571</v>
      </c>
      <c r="D137" s="292" t="s">
        <v>572</v>
      </c>
      <c r="E137" s="425"/>
      <c r="F137" s="497">
        <v>0</v>
      </c>
      <c r="G137" s="13">
        <v>47.49</v>
      </c>
      <c r="H137" s="13">
        <f t="shared" ref="H137" si="199">G137*(1+$M$1)</f>
        <v>47.49</v>
      </c>
      <c r="I137" s="102">
        <f t="shared" ref="I137" si="200">F137*O137</f>
        <v>0</v>
      </c>
      <c r="J137" s="13">
        <f t="shared" ref="J137" si="201">F137*G137</f>
        <v>0</v>
      </c>
      <c r="K137" s="13">
        <f t="shared" ref="K137" si="202">J137*(1+$M$1)</f>
        <v>0</v>
      </c>
      <c r="L137" s="13">
        <f t="shared" si="198"/>
        <v>71.239999999999995</v>
      </c>
      <c r="M137" s="219">
        <f t="shared" si="181"/>
        <v>0</v>
      </c>
      <c r="N137" s="321" t="str">
        <f t="shared" si="193"/>
        <v/>
      </c>
      <c r="O137" s="1">
        <v>3.5</v>
      </c>
      <c r="P137" s="1"/>
      <c r="Q137" s="1"/>
      <c r="R137" s="1" t="s">
        <v>422</v>
      </c>
      <c r="T137"/>
    </row>
    <row r="138" spans="2:20" ht="30">
      <c r="B138" t="str">
        <f t="shared" si="188"/>
        <v/>
      </c>
      <c r="C138" s="143" t="s">
        <v>573</v>
      </c>
      <c r="D138" s="345" t="s">
        <v>574</v>
      </c>
      <c r="E138" s="425"/>
      <c r="F138" s="497">
        <v>0</v>
      </c>
      <c r="G138" s="13">
        <v>59.83</v>
      </c>
      <c r="H138" s="13">
        <f t="shared" si="197"/>
        <v>59.83</v>
      </c>
      <c r="I138" s="102">
        <f t="shared" si="190"/>
        <v>0</v>
      </c>
      <c r="J138" s="13">
        <f t="shared" si="191"/>
        <v>0</v>
      </c>
      <c r="K138" s="13">
        <f t="shared" si="192"/>
        <v>0</v>
      </c>
      <c r="L138" s="13">
        <f t="shared" si="198"/>
        <v>89.75</v>
      </c>
      <c r="M138" s="219">
        <f t="shared" si="181"/>
        <v>0</v>
      </c>
      <c r="N138" s="321" t="str">
        <f t="shared" si="193"/>
        <v/>
      </c>
      <c r="O138" s="1">
        <v>9</v>
      </c>
      <c r="P138" s="1"/>
      <c r="Q138" s="1" t="s">
        <v>421</v>
      </c>
      <c r="R138" s="1" t="s">
        <v>422</v>
      </c>
      <c r="T138"/>
    </row>
    <row r="139" spans="2:20">
      <c r="B139" t="str">
        <f t="shared" si="188"/>
        <v/>
      </c>
      <c r="C139" s="143" t="s">
        <v>575</v>
      </c>
      <c r="D139" s="292" t="s">
        <v>576</v>
      </c>
      <c r="E139" s="425"/>
      <c r="F139" s="497">
        <v>0</v>
      </c>
      <c r="G139" s="13">
        <v>36</v>
      </c>
      <c r="H139" s="13">
        <f t="shared" ref="H139:H148" si="203">G139*(1+$M$1)</f>
        <v>36</v>
      </c>
      <c r="I139" s="102">
        <f t="shared" si="190"/>
        <v>0</v>
      </c>
      <c r="J139" s="13">
        <f t="shared" ref="J139:J148" si="204">F139*G139</f>
        <v>0</v>
      </c>
      <c r="K139" s="13">
        <f t="shared" ref="K139:K151" si="205">J139*(1+$M$1)</f>
        <v>0</v>
      </c>
      <c r="L139" s="13">
        <f t="shared" ref="L139:L147" si="206">ROUND(H139*(1+$M$2),2)</f>
        <v>82.8</v>
      </c>
      <c r="M139" s="219">
        <f t="shared" si="181"/>
        <v>0</v>
      </c>
      <c r="N139" s="321" t="str">
        <f t="shared" si="193"/>
        <v/>
      </c>
      <c r="O139" s="1"/>
      <c r="P139" s="1"/>
      <c r="Q139" s="1" t="s">
        <v>421</v>
      </c>
      <c r="R139" s="1" t="s">
        <v>422</v>
      </c>
      <c r="T139"/>
    </row>
    <row r="140" spans="2:20">
      <c r="B140" t="str">
        <f t="shared" si="188"/>
        <v/>
      </c>
      <c r="C140" s="143" t="s">
        <v>577</v>
      </c>
      <c r="D140" s="292"/>
      <c r="E140" s="425"/>
      <c r="F140" s="497">
        <v>0</v>
      </c>
      <c r="G140" s="13">
        <v>15.99</v>
      </c>
      <c r="H140" s="13">
        <f t="shared" ref="H140:H146" si="207">G140*(1+$M$1)</f>
        <v>15.99</v>
      </c>
      <c r="I140" s="102">
        <f t="shared" si="190"/>
        <v>0</v>
      </c>
      <c r="J140" s="13">
        <f t="shared" ref="J140:J146" si="208">F140*G140</f>
        <v>0</v>
      </c>
      <c r="K140" s="13">
        <f t="shared" ref="K140:K146" si="209">J140*(1+$M$1)</f>
        <v>0</v>
      </c>
      <c r="L140" s="13">
        <f t="shared" si="206"/>
        <v>36.78</v>
      </c>
      <c r="M140" s="219">
        <f t="shared" si="181"/>
        <v>0</v>
      </c>
      <c r="N140" s="321" t="str">
        <f t="shared" si="193"/>
        <v/>
      </c>
      <c r="O140" s="1">
        <v>1</v>
      </c>
      <c r="P140" s="1"/>
      <c r="Q140" s="1"/>
      <c r="R140" s="1" t="s">
        <v>422</v>
      </c>
      <c r="T140"/>
    </row>
    <row r="141" spans="2:20">
      <c r="B141" t="str">
        <f t="shared" si="188"/>
        <v>B0CDVDZSB1</v>
      </c>
      <c r="C141" s="143" t="s">
        <v>578</v>
      </c>
      <c r="D141" s="292" t="s">
        <v>579</v>
      </c>
      <c r="E141" s="425">
        <f>ROUND(VLOOKUP!E52, 0)</f>
        <v>2</v>
      </c>
      <c r="F141" s="500">
        <f>E141</f>
        <v>2</v>
      </c>
      <c r="G141" s="13">
        <v>22.99</v>
      </c>
      <c r="H141" s="13">
        <f t="shared" si="207"/>
        <v>22.99</v>
      </c>
      <c r="I141" s="102">
        <f t="shared" ref="I141" si="210">F141*O141</f>
        <v>0</v>
      </c>
      <c r="J141" s="13">
        <f>F141*G141</f>
        <v>45.98</v>
      </c>
      <c r="K141" s="13">
        <f t="shared" ref="K141" si="211">J141*(1+$M$1)</f>
        <v>45.98</v>
      </c>
      <c r="L141" s="13">
        <f>ROUND(H141*(1+$M$2),2)</f>
        <v>52.88</v>
      </c>
      <c r="M141" s="219">
        <f t="shared" ref="M141" si="212">F141*L141</f>
        <v>105.76</v>
      </c>
      <c r="N141" s="321">
        <f t="shared" ref="N141" si="213">IFERROR((M141/K141)-1,"")</f>
        <v>1.3001304915180514</v>
      </c>
      <c r="O141" s="1"/>
      <c r="P141" s="1"/>
      <c r="Q141" s="1"/>
      <c r="R141" s="1" t="s">
        <v>422</v>
      </c>
      <c r="T141"/>
    </row>
    <row r="142" spans="2:20">
      <c r="B142" t="str">
        <f t="shared" si="188"/>
        <v/>
      </c>
      <c r="C142" s="143" t="s">
        <v>575</v>
      </c>
      <c r="D142" s="292" t="s">
        <v>580</v>
      </c>
      <c r="E142" s="425">
        <f>IF(E146&gt;=1,1,0)</f>
        <v>0</v>
      </c>
      <c r="F142" s="500">
        <f>E142</f>
        <v>0</v>
      </c>
      <c r="G142" s="13">
        <v>31.99</v>
      </c>
      <c r="H142" s="13">
        <f t="shared" ref="H142" si="214">G142*(1+$M$1)</f>
        <v>31.99</v>
      </c>
      <c r="I142" s="102">
        <f t="shared" ref="I142" si="215">F142*O142</f>
        <v>0</v>
      </c>
      <c r="J142" s="13">
        <f t="shared" ref="J142" si="216">F142*G142</f>
        <v>0</v>
      </c>
      <c r="K142" s="13">
        <f t="shared" ref="K142" si="217">J142*(1+$M$1)</f>
        <v>0</v>
      </c>
      <c r="L142" s="13">
        <f>ROUND(H142*(1+$M$2),2)</f>
        <v>73.58</v>
      </c>
      <c r="M142" s="219">
        <f t="shared" ref="M142" si="218">F142*L142</f>
        <v>0</v>
      </c>
      <c r="N142" s="321" t="str">
        <f t="shared" ref="N142" si="219">IFERROR((M142/K142)-1,"")</f>
        <v/>
      </c>
      <c r="O142" s="1"/>
      <c r="P142" s="1"/>
      <c r="Q142" s="1"/>
      <c r="R142" s="1" t="s">
        <v>422</v>
      </c>
      <c r="T142"/>
    </row>
    <row r="143" spans="2:20">
      <c r="B143" t="str">
        <f t="shared" si="188"/>
        <v/>
      </c>
      <c r="C143" s="143" t="s">
        <v>581</v>
      </c>
      <c r="D143" s="292" t="s">
        <v>582</v>
      </c>
      <c r="E143" s="425"/>
      <c r="F143" s="500">
        <f>VLOOKUP!E53</f>
        <v>0</v>
      </c>
      <c r="G143" s="13">
        <f>lists!L91</f>
        <v>22.4925</v>
      </c>
      <c r="H143" s="13">
        <f t="shared" ref="H143" si="220">G143*(1+$M$1)</f>
        <v>22.4925</v>
      </c>
      <c r="I143" s="102">
        <f t="shared" ref="I143" si="221">F143*O143</f>
        <v>0</v>
      </c>
      <c r="J143" s="13">
        <f t="shared" ref="J143" si="222">F143*G143</f>
        <v>0</v>
      </c>
      <c r="K143" s="13">
        <f t="shared" ref="K143" si="223">J143*(1+$M$1)</f>
        <v>0</v>
      </c>
      <c r="L143" s="13">
        <f>ROUND(H143*(1+$M$2),2)</f>
        <v>51.73</v>
      </c>
      <c r="M143" s="219">
        <f t="shared" ref="M143" si="224">F143*L143</f>
        <v>0</v>
      </c>
      <c r="N143" s="321"/>
      <c r="O143" s="1"/>
      <c r="P143" s="1"/>
      <c r="Q143" s="1"/>
      <c r="R143" s="1" t="s">
        <v>422</v>
      </c>
      <c r="T143"/>
    </row>
    <row r="144" spans="2:20">
      <c r="B144" t="str">
        <f t="shared" si="188"/>
        <v/>
      </c>
      <c r="C144" s="143" t="s">
        <v>583</v>
      </c>
      <c r="D144" s="292" t="s">
        <v>584</v>
      </c>
      <c r="E144" s="425"/>
      <c r="F144" s="497"/>
      <c r="G144" s="13">
        <v>23.98</v>
      </c>
      <c r="H144" s="13">
        <f t="shared" si="207"/>
        <v>23.98</v>
      </c>
      <c r="I144" s="102">
        <f t="shared" si="190"/>
        <v>0</v>
      </c>
      <c r="J144" s="13">
        <f t="shared" si="208"/>
        <v>0</v>
      </c>
      <c r="K144" s="13">
        <f t="shared" si="209"/>
        <v>0</v>
      </c>
      <c r="L144" s="13">
        <f t="shared" si="206"/>
        <v>55.15</v>
      </c>
      <c r="M144" s="219">
        <f t="shared" si="181"/>
        <v>0</v>
      </c>
      <c r="N144" s="321" t="str">
        <f t="shared" si="193"/>
        <v/>
      </c>
      <c r="O144" s="1">
        <v>1</v>
      </c>
      <c r="P144" s="1"/>
      <c r="Q144" s="1" t="s">
        <v>421</v>
      </c>
      <c r="R144" s="1" t="s">
        <v>422</v>
      </c>
      <c r="T144"/>
    </row>
    <row r="145" spans="2:20">
      <c r="B145" t="str">
        <f t="shared" si="188"/>
        <v/>
      </c>
      <c r="C145" s="143" t="s">
        <v>585</v>
      </c>
      <c r="D145" s="292" t="s">
        <v>586</v>
      </c>
      <c r="E145" s="425"/>
      <c r="F145" s="497"/>
      <c r="G145" s="13">
        <v>125</v>
      </c>
      <c r="H145" s="13">
        <f t="shared" ref="H145" si="225">G145*(1+$M$1)</f>
        <v>125</v>
      </c>
      <c r="I145" s="102">
        <f t="shared" si="190"/>
        <v>0</v>
      </c>
      <c r="J145" s="13">
        <f t="shared" ref="J145" si="226">F145*G145</f>
        <v>0</v>
      </c>
      <c r="K145" s="13">
        <f t="shared" ref="K145" si="227">J145*(1+$M$1)</f>
        <v>0</v>
      </c>
      <c r="L145" s="13">
        <f t="shared" ref="L145" si="228">ROUND(H145*(1+$M$2),2)</f>
        <v>287.5</v>
      </c>
      <c r="M145" s="219">
        <f t="shared" si="181"/>
        <v>0</v>
      </c>
      <c r="N145" s="321" t="str">
        <f t="shared" si="193"/>
        <v/>
      </c>
      <c r="O145" s="1"/>
      <c r="P145" s="1"/>
      <c r="Q145" s="1" t="s">
        <v>421</v>
      </c>
      <c r="R145" s="1" t="s">
        <v>422</v>
      </c>
      <c r="T145"/>
    </row>
    <row r="146" spans="2:20">
      <c r="B146" t="str">
        <f t="shared" si="188"/>
        <v/>
      </c>
      <c r="C146" s="143" t="s">
        <v>587</v>
      </c>
      <c r="D146" s="292" t="s">
        <v>588</v>
      </c>
      <c r="E146" s="425">
        <f>VLOOKUP!E51</f>
        <v>0</v>
      </c>
      <c r="F146" s="500">
        <f>E146</f>
        <v>0</v>
      </c>
      <c r="G146" s="13">
        <v>19.79</v>
      </c>
      <c r="H146" s="13">
        <f t="shared" si="207"/>
        <v>19.79</v>
      </c>
      <c r="I146" s="102">
        <f t="shared" si="190"/>
        <v>0</v>
      </c>
      <c r="J146" s="13">
        <f t="shared" si="208"/>
        <v>0</v>
      </c>
      <c r="K146" s="13">
        <f t="shared" si="209"/>
        <v>0</v>
      </c>
      <c r="L146" s="13">
        <f t="shared" si="206"/>
        <v>45.52</v>
      </c>
      <c r="M146" s="219">
        <f t="shared" si="181"/>
        <v>0</v>
      </c>
      <c r="N146" s="321" t="str">
        <f t="shared" si="193"/>
        <v/>
      </c>
      <c r="O146" s="1">
        <v>3</v>
      </c>
      <c r="P146" s="1"/>
      <c r="Q146" s="1"/>
      <c r="R146" s="1" t="s">
        <v>422</v>
      </c>
      <c r="T146"/>
    </row>
    <row r="147" spans="2:20">
      <c r="B147" t="str">
        <f t="shared" si="188"/>
        <v/>
      </c>
      <c r="C147" s="143" t="s">
        <v>589</v>
      </c>
      <c r="D147" s="292" t="s">
        <v>590</v>
      </c>
      <c r="E147" s="425"/>
      <c r="F147" s="497">
        <v>0</v>
      </c>
      <c r="G147" s="13">
        <v>76.489999999999995</v>
      </c>
      <c r="H147" s="13">
        <f t="shared" si="203"/>
        <v>76.489999999999995</v>
      </c>
      <c r="I147" s="102">
        <f t="shared" si="190"/>
        <v>0</v>
      </c>
      <c r="J147" s="13">
        <f t="shared" si="204"/>
        <v>0</v>
      </c>
      <c r="K147" s="13">
        <f t="shared" si="205"/>
        <v>0</v>
      </c>
      <c r="L147" s="13">
        <f t="shared" si="206"/>
        <v>175.93</v>
      </c>
      <c r="M147" s="219">
        <f t="shared" si="181"/>
        <v>0</v>
      </c>
      <c r="N147" s="321" t="str">
        <f t="shared" si="193"/>
        <v/>
      </c>
      <c r="O147" s="1">
        <v>8</v>
      </c>
      <c r="P147" s="1"/>
      <c r="Q147" s="1" t="s">
        <v>421</v>
      </c>
      <c r="R147" s="1" t="s">
        <v>422</v>
      </c>
      <c r="T147"/>
    </row>
    <row r="148" spans="2:20">
      <c r="B148" t="str">
        <f t="shared" si="188"/>
        <v/>
      </c>
      <c r="C148" s="143" t="s">
        <v>591</v>
      </c>
      <c r="D148" s="293" t="s">
        <v>592</v>
      </c>
      <c r="E148" s="425">
        <f>IF(VLOOKUP!E17="Yes",1,0)</f>
        <v>0</v>
      </c>
      <c r="F148" s="425">
        <f>E148</f>
        <v>0</v>
      </c>
      <c r="G148" s="13">
        <v>115</v>
      </c>
      <c r="H148" s="13">
        <f t="shared" si="203"/>
        <v>115</v>
      </c>
      <c r="I148" s="102">
        <f t="shared" si="190"/>
        <v>0</v>
      </c>
      <c r="J148" s="13">
        <f t="shared" si="204"/>
        <v>0</v>
      </c>
      <c r="K148" s="13">
        <f t="shared" si="205"/>
        <v>0</v>
      </c>
      <c r="L148" s="13">
        <f>ROUND(H148*(1.5),2)</f>
        <v>172.5</v>
      </c>
      <c r="M148" s="219">
        <f t="shared" si="181"/>
        <v>0</v>
      </c>
      <c r="N148" s="321" t="str">
        <f t="shared" si="193"/>
        <v/>
      </c>
      <c r="O148" s="1"/>
      <c r="P148" s="1"/>
      <c r="Q148" s="1"/>
      <c r="R148" s="48"/>
      <c r="T148"/>
    </row>
    <row r="149" spans="2:20">
      <c r="B149" t="str">
        <f t="shared" si="188"/>
        <v/>
      </c>
      <c r="C149" s="143" t="s">
        <v>593</v>
      </c>
      <c r="D149" s="293" t="s">
        <v>594</v>
      </c>
      <c r="E149" s="425">
        <f>IF(VLOOKUP!E17="Yes",1,0)</f>
        <v>0</v>
      </c>
      <c r="F149" s="425">
        <f>E149</f>
        <v>0</v>
      </c>
      <c r="G149" s="13">
        <v>45</v>
      </c>
      <c r="H149" s="13">
        <f t="shared" ref="H149:H151" si="229">G149*(1+$M$1)</f>
        <v>45</v>
      </c>
      <c r="I149" s="102">
        <f t="shared" si="190"/>
        <v>0</v>
      </c>
      <c r="J149" s="13">
        <f t="shared" ref="J149:J151" si="230">F149*G149</f>
        <v>0</v>
      </c>
      <c r="K149" s="13">
        <f t="shared" si="205"/>
        <v>0</v>
      </c>
      <c r="L149" s="13">
        <f>ROUND(H149*(1.5),2)</f>
        <v>67.5</v>
      </c>
      <c r="M149" s="219">
        <f t="shared" si="181"/>
        <v>0</v>
      </c>
      <c r="N149" s="321" t="str">
        <f t="shared" si="193"/>
        <v/>
      </c>
      <c r="O149" s="1"/>
      <c r="P149" s="1"/>
      <c r="Q149" s="1"/>
      <c r="R149" s="1" t="s">
        <v>422</v>
      </c>
      <c r="T149"/>
    </row>
    <row r="150" spans="2:20">
      <c r="B150" t="str">
        <f t="shared" si="188"/>
        <v/>
      </c>
      <c r="C150" s="143" t="s">
        <v>595</v>
      </c>
      <c r="D150" s="293" t="s">
        <v>596</v>
      </c>
      <c r="E150" s="425">
        <f>IF(VLOOKUP!E17="Yes",2,0)</f>
        <v>0</v>
      </c>
      <c r="F150" s="425">
        <f>E150</f>
        <v>0</v>
      </c>
      <c r="G150" s="54">
        <f>H187</f>
        <v>8.9499999999999993</v>
      </c>
      <c r="H150" s="54">
        <f t="shared" ref="H150" si="231">I187</f>
        <v>8.9499999999999993</v>
      </c>
      <c r="I150" s="102">
        <f t="shared" si="190"/>
        <v>0</v>
      </c>
      <c r="J150" s="13">
        <f t="shared" si="230"/>
        <v>0</v>
      </c>
      <c r="K150" s="13">
        <f t="shared" si="205"/>
        <v>0</v>
      </c>
      <c r="L150" s="13">
        <f t="shared" ref="L150:L152" si="232">ROUND(H150*(1+$M$2),2)</f>
        <v>20.59</v>
      </c>
      <c r="M150" s="219">
        <f t="shared" si="181"/>
        <v>0</v>
      </c>
      <c r="N150" s="321" t="str">
        <f t="shared" si="193"/>
        <v/>
      </c>
      <c r="O150" s="1"/>
      <c r="P150" s="1"/>
      <c r="Q150" s="1"/>
      <c r="R150" s="1"/>
      <c r="T150"/>
    </row>
    <row r="151" spans="2:20">
      <c r="B151" t="str">
        <f t="shared" si="188"/>
        <v/>
      </c>
      <c r="C151" s="143" t="s">
        <v>597</v>
      </c>
      <c r="D151" s="293" t="s">
        <v>598</v>
      </c>
      <c r="E151" s="425">
        <f>IF(VLOOKUP!E17="Yes",1,0)</f>
        <v>0</v>
      </c>
      <c r="F151" s="425">
        <f>E151</f>
        <v>0</v>
      </c>
      <c r="G151" s="13">
        <v>15.83</v>
      </c>
      <c r="H151" s="13">
        <f t="shared" si="229"/>
        <v>15.83</v>
      </c>
      <c r="I151" s="102">
        <f t="shared" si="190"/>
        <v>0</v>
      </c>
      <c r="J151" s="13">
        <f t="shared" si="230"/>
        <v>0</v>
      </c>
      <c r="K151" s="13">
        <f t="shared" si="205"/>
        <v>0</v>
      </c>
      <c r="L151" s="13">
        <f t="shared" ref="L151" si="233">ROUND(H151*(1+$M$2),2)</f>
        <v>36.409999999999997</v>
      </c>
      <c r="M151" s="219">
        <f t="shared" si="181"/>
        <v>0</v>
      </c>
      <c r="N151" s="321" t="str">
        <f t="shared" si="193"/>
        <v/>
      </c>
      <c r="O151" s="1"/>
      <c r="P151" s="1"/>
      <c r="Q151" s="1"/>
      <c r="R151" s="1" t="s">
        <v>422</v>
      </c>
      <c r="T151"/>
    </row>
    <row r="152" spans="2:20">
      <c r="B152" t="str">
        <f t="shared" si="188"/>
        <v/>
      </c>
      <c r="C152" s="143" t="s">
        <v>557</v>
      </c>
      <c r="D152" s="292" t="s">
        <v>599</v>
      </c>
      <c r="E152" s="425"/>
      <c r="F152" s="497"/>
      <c r="G152" s="13">
        <v>39.99</v>
      </c>
      <c r="H152" s="13">
        <f t="shared" ref="H152" si="234">G152*(1+$M$1)</f>
        <v>39.99</v>
      </c>
      <c r="I152" s="102">
        <f t="shared" si="190"/>
        <v>0</v>
      </c>
      <c r="J152" s="13">
        <f t="shared" ref="J152" si="235">F152*G152</f>
        <v>0</v>
      </c>
      <c r="K152" s="13">
        <f t="shared" ref="K152" si="236">J152*(1+$M$1)</f>
        <v>0</v>
      </c>
      <c r="L152" s="13">
        <f t="shared" si="232"/>
        <v>91.98</v>
      </c>
      <c r="M152" s="219">
        <f t="shared" si="181"/>
        <v>0</v>
      </c>
      <c r="N152" s="321" t="str">
        <f t="shared" si="193"/>
        <v/>
      </c>
      <c r="O152" s="1">
        <v>4</v>
      </c>
      <c r="P152" s="1"/>
      <c r="Q152" s="1" t="s">
        <v>421</v>
      </c>
      <c r="R152" s="1" t="s">
        <v>422</v>
      </c>
      <c r="T152"/>
    </row>
    <row r="153" spans="2:20">
      <c r="B153" t="str">
        <f t="shared" si="188"/>
        <v/>
      </c>
      <c r="C153" s="371">
        <v>120040</v>
      </c>
      <c r="D153" s="292" t="s">
        <v>600</v>
      </c>
      <c r="E153" s="425"/>
      <c r="F153" s="497">
        <v>0</v>
      </c>
      <c r="G153" s="13">
        <v>275</v>
      </c>
      <c r="H153" s="13">
        <f t="shared" ref="H153:H175" si="237">G153*(1+$M$1)</f>
        <v>275</v>
      </c>
      <c r="I153" s="102">
        <f t="shared" si="190"/>
        <v>0</v>
      </c>
      <c r="J153" s="13">
        <f t="shared" ref="J153:J175" si="238">F153*G153</f>
        <v>0</v>
      </c>
      <c r="K153" s="13">
        <f t="shared" ref="K153:K175" si="239">J153*(1+$M$1)</f>
        <v>0</v>
      </c>
      <c r="L153" s="13">
        <f t="shared" ref="L153:L158" si="240">ROUND(H153*1.4,2)</f>
        <v>385</v>
      </c>
      <c r="M153" s="219">
        <f t="shared" si="181"/>
        <v>0</v>
      </c>
      <c r="N153" s="321" t="str">
        <f t="shared" si="193"/>
        <v/>
      </c>
      <c r="O153" s="1"/>
      <c r="P153" s="1"/>
      <c r="Q153" s="1" t="s">
        <v>421</v>
      </c>
      <c r="R153" s="1" t="s">
        <v>422</v>
      </c>
      <c r="T153"/>
    </row>
    <row r="154" spans="2:20">
      <c r="B154" t="str">
        <f t="shared" si="188"/>
        <v/>
      </c>
      <c r="C154" s="371">
        <v>120050</v>
      </c>
      <c r="D154" s="292" t="s">
        <v>601</v>
      </c>
      <c r="E154" s="425"/>
      <c r="F154" s="497">
        <v>0</v>
      </c>
      <c r="G154" s="13">
        <v>375</v>
      </c>
      <c r="H154" s="13">
        <f t="shared" si="237"/>
        <v>375</v>
      </c>
      <c r="I154" s="102">
        <f t="shared" si="190"/>
        <v>0</v>
      </c>
      <c r="J154" s="13">
        <f t="shared" si="238"/>
        <v>0</v>
      </c>
      <c r="K154" s="13">
        <f t="shared" si="239"/>
        <v>0</v>
      </c>
      <c r="L154" s="13">
        <f t="shared" si="240"/>
        <v>525</v>
      </c>
      <c r="M154" s="219">
        <f t="shared" si="181"/>
        <v>0</v>
      </c>
      <c r="N154" s="321" t="str">
        <f t="shared" si="193"/>
        <v/>
      </c>
      <c r="O154" s="1"/>
      <c r="P154" s="1"/>
      <c r="Q154" s="1" t="s">
        <v>421</v>
      </c>
      <c r="R154" s="1" t="s">
        <v>422</v>
      </c>
      <c r="T154"/>
    </row>
    <row r="155" spans="2:20">
      <c r="B155" s="53" t="str">
        <f t="shared" si="188"/>
        <v/>
      </c>
      <c r="C155" s="371">
        <v>120077</v>
      </c>
      <c r="D155" s="292" t="s">
        <v>602</v>
      </c>
      <c r="E155" s="425"/>
      <c r="F155" s="497">
        <v>0</v>
      </c>
      <c r="G155" s="13">
        <v>529</v>
      </c>
      <c r="H155" s="13">
        <f t="shared" ref="H155" si="241">G155*(1+$M$1)</f>
        <v>529</v>
      </c>
      <c r="I155" s="102">
        <f t="shared" ref="I155" si="242">F155*O155</f>
        <v>0</v>
      </c>
      <c r="J155" s="13">
        <f t="shared" ref="J155" si="243">F155*G155</f>
        <v>0</v>
      </c>
      <c r="K155" s="13">
        <f t="shared" ref="K155" si="244">J155*(1+$M$1)</f>
        <v>0</v>
      </c>
      <c r="L155" s="13">
        <f t="shared" si="240"/>
        <v>740.6</v>
      </c>
      <c r="M155" s="219">
        <f t="shared" si="181"/>
        <v>0</v>
      </c>
      <c r="N155" s="321" t="str">
        <f t="shared" si="193"/>
        <v/>
      </c>
      <c r="O155" s="1"/>
      <c r="P155" s="1"/>
      <c r="Q155" s="1"/>
      <c r="R155" s="1" t="s">
        <v>422</v>
      </c>
      <c r="T155"/>
    </row>
    <row r="156" spans="2:20">
      <c r="B156" s="53" t="str">
        <f t="shared" si="188"/>
        <v/>
      </c>
      <c r="C156" s="371">
        <v>1909</v>
      </c>
      <c r="D156" s="292" t="s">
        <v>603</v>
      </c>
      <c r="E156" s="425"/>
      <c r="F156" s="497">
        <v>0</v>
      </c>
      <c r="G156" s="13">
        <v>419</v>
      </c>
      <c r="H156" s="13">
        <f t="shared" ref="H156" si="245">G156*(1+$M$1)</f>
        <v>419</v>
      </c>
      <c r="I156" s="102">
        <f t="shared" ref="I156" si="246">F156*O156</f>
        <v>0</v>
      </c>
      <c r="J156" s="13">
        <f t="shared" ref="J156" si="247">F156*G156</f>
        <v>0</v>
      </c>
      <c r="K156" s="13">
        <f t="shared" ref="K156" si="248">J156*(1+$M$1)</f>
        <v>0</v>
      </c>
      <c r="L156" s="13">
        <f t="shared" si="240"/>
        <v>586.6</v>
      </c>
      <c r="M156" s="219">
        <f t="shared" si="181"/>
        <v>0</v>
      </c>
      <c r="N156" s="321" t="str">
        <f t="shared" si="193"/>
        <v/>
      </c>
      <c r="O156" s="1"/>
      <c r="P156" s="1"/>
      <c r="Q156" s="1"/>
      <c r="R156" s="1"/>
      <c r="T156"/>
    </row>
    <row r="157" spans="2:20">
      <c r="B157" t="str">
        <f t="shared" si="188"/>
        <v/>
      </c>
      <c r="C157" s="371" t="s">
        <v>604</v>
      </c>
      <c r="D157" s="292" t="s">
        <v>605</v>
      </c>
      <c r="E157" s="425"/>
      <c r="F157" s="497">
        <v>0</v>
      </c>
      <c r="G157" s="13">
        <v>509.21</v>
      </c>
      <c r="H157" s="13">
        <f t="shared" ref="H157" si="249">G157*(1+$M$1)</f>
        <v>509.21</v>
      </c>
      <c r="I157" s="102">
        <f t="shared" si="190"/>
        <v>0</v>
      </c>
      <c r="J157" s="13">
        <f t="shared" ref="J157" si="250">F157*G157</f>
        <v>0</v>
      </c>
      <c r="K157" s="13">
        <f t="shared" ref="K157" si="251">J157*(1+$M$1)</f>
        <v>0</v>
      </c>
      <c r="L157" s="13">
        <f t="shared" si="240"/>
        <v>712.89</v>
      </c>
      <c r="M157" s="219">
        <f t="shared" si="181"/>
        <v>0</v>
      </c>
      <c r="N157" s="321" t="str">
        <f t="shared" si="193"/>
        <v/>
      </c>
      <c r="O157" s="1"/>
      <c r="P157" s="1"/>
      <c r="Q157" s="1" t="s">
        <v>421</v>
      </c>
      <c r="R157" s="1" t="s">
        <v>422</v>
      </c>
      <c r="T157"/>
    </row>
    <row r="158" spans="2:20">
      <c r="B158" t="str">
        <f t="shared" si="188"/>
        <v/>
      </c>
      <c r="C158" s="371">
        <v>120145</v>
      </c>
      <c r="D158" s="292" t="s">
        <v>606</v>
      </c>
      <c r="E158" s="425"/>
      <c r="F158" s="497"/>
      <c r="G158" s="13">
        <v>955</v>
      </c>
      <c r="H158" s="13">
        <f t="shared" ref="H158" si="252">G158*(1+$M$1)</f>
        <v>955</v>
      </c>
      <c r="I158" s="102">
        <f t="shared" ref="I158" si="253">F158*O158</f>
        <v>0</v>
      </c>
      <c r="J158" s="13">
        <f t="shared" ref="J158" si="254">F158*G158</f>
        <v>0</v>
      </c>
      <c r="K158" s="13">
        <f t="shared" ref="K158" si="255">J158*(1+$M$1)</f>
        <v>0</v>
      </c>
      <c r="L158" s="13">
        <f t="shared" si="240"/>
        <v>1337</v>
      </c>
      <c r="M158" s="219">
        <f t="shared" ref="M158" si="256">F158*L158</f>
        <v>0</v>
      </c>
      <c r="N158" s="321"/>
      <c r="O158" s="1"/>
      <c r="P158" s="1"/>
      <c r="Q158" s="1"/>
      <c r="R158" s="1" t="s">
        <v>422</v>
      </c>
      <c r="T158"/>
    </row>
    <row r="159" spans="2:20">
      <c r="B159" t="str">
        <f t="shared" si="188"/>
        <v/>
      </c>
      <c r="C159" s="372" t="s">
        <v>607</v>
      </c>
      <c r="D159" s="345" t="s">
        <v>608</v>
      </c>
      <c r="E159" s="425">
        <f>IF(VLOOKUP!E40="Yes",1,0)</f>
        <v>0</v>
      </c>
      <c r="F159" s="497">
        <f>E159</f>
        <v>0</v>
      </c>
      <c r="G159" s="219">
        <v>1407</v>
      </c>
      <c r="H159" s="13">
        <f t="shared" ref="H159" si="257">G159*(1+$M$1)</f>
        <v>1407</v>
      </c>
      <c r="I159" s="102">
        <f t="shared" si="190"/>
        <v>0</v>
      </c>
      <c r="J159" s="13">
        <f t="shared" ref="J159:J160" si="258">F159*G159</f>
        <v>0</v>
      </c>
      <c r="K159" s="13">
        <f t="shared" ref="K159:K160" si="259">J159*(1+$M$1)</f>
        <v>0</v>
      </c>
      <c r="L159" s="13">
        <f>ROUND(H159*1.5,2)</f>
        <v>2110.5</v>
      </c>
      <c r="M159" s="219">
        <f t="shared" si="181"/>
        <v>0</v>
      </c>
      <c r="N159" s="321" t="str">
        <f t="shared" si="193"/>
        <v/>
      </c>
      <c r="O159" s="1"/>
      <c r="P159" s="1"/>
      <c r="Q159" s="1" t="s">
        <v>609</v>
      </c>
      <c r="R159" s="1" t="s">
        <v>422</v>
      </c>
      <c r="T159"/>
    </row>
    <row r="160" spans="2:20">
      <c r="B160" t="str">
        <f t="shared" si="188"/>
        <v/>
      </c>
      <c r="C160" s="372" t="s">
        <v>610</v>
      </c>
      <c r="D160" s="345" t="s">
        <v>611</v>
      </c>
      <c r="E160" s="425">
        <f>IF(F159=1,2,0)</f>
        <v>0</v>
      </c>
      <c r="F160" s="500">
        <f>IF(F159=1,2,0)</f>
        <v>0</v>
      </c>
      <c r="G160" s="219">
        <v>17.09</v>
      </c>
      <c r="H160" s="219">
        <v>17.09</v>
      </c>
      <c r="I160" s="102">
        <f t="shared" si="190"/>
        <v>0</v>
      </c>
      <c r="J160" s="13">
        <f t="shared" si="258"/>
        <v>0</v>
      </c>
      <c r="K160" s="13">
        <f t="shared" si="259"/>
        <v>0</v>
      </c>
      <c r="L160" s="13">
        <f t="shared" ref="L160" si="260">ROUND(H160*(1+$M$2),2)</f>
        <v>39.31</v>
      </c>
      <c r="M160" s="219">
        <f t="shared" si="181"/>
        <v>0</v>
      </c>
      <c r="N160" s="321" t="str">
        <f t="shared" si="193"/>
        <v/>
      </c>
      <c r="O160" s="1">
        <v>5</v>
      </c>
      <c r="P160" s="1"/>
      <c r="Q160" s="1"/>
      <c r="R160" s="1" t="s">
        <v>422</v>
      </c>
      <c r="T160"/>
    </row>
    <row r="161" spans="2:20">
      <c r="B161" t="str">
        <f t="shared" ref="B161:B167" si="261">IF(F161&gt;=1,C161,"")</f>
        <v/>
      </c>
      <c r="C161" s="372" t="s">
        <v>612</v>
      </c>
      <c r="D161" s="345" t="s">
        <v>613</v>
      </c>
      <c r="E161" s="425"/>
      <c r="F161" s="497">
        <v>0</v>
      </c>
      <c r="G161" s="219">
        <v>482.25</v>
      </c>
      <c r="H161" s="13">
        <f t="shared" ref="H161" si="262">G161*(1+$M$1)</f>
        <v>482.25</v>
      </c>
      <c r="I161" s="102">
        <f t="shared" si="190"/>
        <v>0</v>
      </c>
      <c r="J161" s="13">
        <f t="shared" ref="J161" si="263">F161*G161</f>
        <v>0</v>
      </c>
      <c r="K161" s="13">
        <f t="shared" ref="K161" si="264">J161*(1+$M$1)</f>
        <v>0</v>
      </c>
      <c r="L161" s="13">
        <f>ROUND(H161*1.5,2)</f>
        <v>723.38</v>
      </c>
      <c r="M161" s="219">
        <f t="shared" si="181"/>
        <v>0</v>
      </c>
      <c r="N161" s="321" t="str">
        <f t="shared" si="193"/>
        <v/>
      </c>
      <c r="O161" s="1"/>
      <c r="P161" s="1"/>
      <c r="Q161" s="1" t="s">
        <v>609</v>
      </c>
      <c r="R161" s="1" t="s">
        <v>422</v>
      </c>
      <c r="T161"/>
    </row>
    <row r="162" spans="2:20">
      <c r="B162" t="str">
        <f t="shared" si="261"/>
        <v/>
      </c>
      <c r="C162" s="372" t="s">
        <v>614</v>
      </c>
      <c r="D162" s="345" t="s">
        <v>615</v>
      </c>
      <c r="E162" s="425"/>
      <c r="F162" s="497">
        <v>0</v>
      </c>
      <c r="G162" s="219">
        <v>449</v>
      </c>
      <c r="H162" s="13">
        <f t="shared" ref="H162" si="265">G162*(1+$M$1)</f>
        <v>449</v>
      </c>
      <c r="I162" s="102">
        <f t="shared" si="190"/>
        <v>0</v>
      </c>
      <c r="J162" s="13">
        <f t="shared" ref="J162:J165" si="266">F162*G162</f>
        <v>0</v>
      </c>
      <c r="K162" s="13">
        <f t="shared" ref="K162:K165" si="267">J162*(1+$M$1)</f>
        <v>0</v>
      </c>
      <c r="L162" s="13">
        <f>ROUND(H162*1.5,2)</f>
        <v>673.5</v>
      </c>
      <c r="M162" s="219">
        <f t="shared" ref="M162:M175" si="268">F162*L162</f>
        <v>0</v>
      </c>
      <c r="N162" s="321" t="str">
        <f t="shared" si="193"/>
        <v/>
      </c>
      <c r="O162" s="1"/>
      <c r="P162" s="1"/>
      <c r="Q162" s="1" t="s">
        <v>616</v>
      </c>
      <c r="R162" s="1" t="s">
        <v>422</v>
      </c>
      <c r="T162"/>
    </row>
    <row r="163" spans="2:20">
      <c r="B163" t="str">
        <f t="shared" si="261"/>
        <v/>
      </c>
      <c r="C163" s="372" t="s">
        <v>617</v>
      </c>
      <c r="D163" s="345" t="s">
        <v>618</v>
      </c>
      <c r="E163" s="425"/>
      <c r="F163" s="497"/>
      <c r="G163" s="219">
        <f>679*0.8</f>
        <v>543.20000000000005</v>
      </c>
      <c r="H163" s="13">
        <f t="shared" ref="H163" si="269">G163*(1+$M$1)</f>
        <v>543.20000000000005</v>
      </c>
      <c r="I163" s="102">
        <f t="shared" ref="I163" si="270">F163*O163</f>
        <v>0</v>
      </c>
      <c r="J163" s="13">
        <f t="shared" ref="J163" si="271">F163*G163</f>
        <v>0</v>
      </c>
      <c r="K163" s="13">
        <f t="shared" ref="K163" si="272">J163*(1+$M$1)</f>
        <v>0</v>
      </c>
      <c r="L163" s="13">
        <f>ROUND(H163*1.35,2)</f>
        <v>733.32</v>
      </c>
      <c r="M163" s="219">
        <f t="shared" si="268"/>
        <v>0</v>
      </c>
      <c r="N163" s="321"/>
      <c r="O163" s="1"/>
      <c r="P163" s="1"/>
      <c r="Q163" s="1"/>
      <c r="R163" s="1"/>
      <c r="T163"/>
    </row>
    <row r="164" spans="2:20">
      <c r="B164" s="53" t="str">
        <f t="shared" si="261"/>
        <v/>
      </c>
      <c r="C164" s="373">
        <v>1001</v>
      </c>
      <c r="D164" s="345" t="s">
        <v>619</v>
      </c>
      <c r="E164" s="425"/>
      <c r="F164" s="497">
        <v>0</v>
      </c>
      <c r="G164" s="219">
        <v>699</v>
      </c>
      <c r="H164" s="13">
        <f>G164*1.15</f>
        <v>803.84999999999991</v>
      </c>
      <c r="I164" s="102">
        <f t="shared" si="190"/>
        <v>0</v>
      </c>
      <c r="J164" s="13">
        <f>F164*G164</f>
        <v>0</v>
      </c>
      <c r="K164" s="13">
        <f t="shared" si="267"/>
        <v>0</v>
      </c>
      <c r="L164" s="13">
        <f>ROUND(H164*1.35,2)</f>
        <v>1085.2</v>
      </c>
      <c r="M164" s="219">
        <f t="shared" si="268"/>
        <v>0</v>
      </c>
      <c r="N164" s="321" t="str">
        <f t="shared" si="193"/>
        <v/>
      </c>
      <c r="O164" s="1"/>
      <c r="P164" s="1"/>
      <c r="Q164" s="1" t="s">
        <v>620</v>
      </c>
      <c r="R164" s="1" t="s">
        <v>422</v>
      </c>
      <c r="T164"/>
    </row>
    <row r="165" spans="2:20">
      <c r="B165" s="53" t="str">
        <f t="shared" si="261"/>
        <v/>
      </c>
      <c r="C165" s="373">
        <v>4602</v>
      </c>
      <c r="D165" s="345" t="s">
        <v>621</v>
      </c>
      <c r="E165" s="425"/>
      <c r="F165" s="497">
        <v>0</v>
      </c>
      <c r="G165" s="219">
        <v>997</v>
      </c>
      <c r="H165" s="13">
        <f>G165*1.15</f>
        <v>1146.55</v>
      </c>
      <c r="I165" s="102">
        <f t="shared" si="190"/>
        <v>0</v>
      </c>
      <c r="J165" s="13">
        <f t="shared" si="266"/>
        <v>0</v>
      </c>
      <c r="K165" s="13">
        <f t="shared" si="267"/>
        <v>0</v>
      </c>
      <c r="L165" s="13">
        <f>ROUND(H165*1.35,2)</f>
        <v>1547.84</v>
      </c>
      <c r="M165" s="219">
        <f t="shared" si="268"/>
        <v>0</v>
      </c>
      <c r="N165" s="321" t="str">
        <f t="shared" si="193"/>
        <v/>
      </c>
      <c r="O165" s="1"/>
      <c r="P165" s="1"/>
      <c r="Q165" s="1" t="s">
        <v>620</v>
      </c>
      <c r="R165" s="1" t="s">
        <v>422</v>
      </c>
      <c r="T165"/>
    </row>
    <row r="166" spans="2:20">
      <c r="B166" s="53"/>
      <c r="C166" s="373" t="s">
        <v>622</v>
      </c>
      <c r="D166" s="345" t="s">
        <v>623</v>
      </c>
      <c r="E166" s="425"/>
      <c r="F166" s="497"/>
      <c r="G166" s="219">
        <v>105</v>
      </c>
      <c r="H166" s="13">
        <f>G166*1.15</f>
        <v>120.74999999999999</v>
      </c>
      <c r="I166" s="102">
        <f t="shared" ref="I166" si="273">F166*O166</f>
        <v>0</v>
      </c>
      <c r="J166" s="13">
        <f t="shared" ref="J166" si="274">F166*G166</f>
        <v>0</v>
      </c>
      <c r="K166" s="13">
        <f t="shared" ref="K166" si="275">J166*(1+$M$1)</f>
        <v>0</v>
      </c>
      <c r="L166" s="13">
        <f>ROUND(H166*1.35,2)</f>
        <v>163.01</v>
      </c>
      <c r="M166" s="219">
        <f t="shared" si="268"/>
        <v>0</v>
      </c>
      <c r="N166" s="321"/>
      <c r="O166" s="1"/>
      <c r="P166" s="1"/>
      <c r="Q166" s="1"/>
      <c r="R166" s="1"/>
      <c r="T166"/>
    </row>
    <row r="167" spans="2:20">
      <c r="B167" t="str">
        <f t="shared" si="261"/>
        <v/>
      </c>
      <c r="C167" s="372" t="s">
        <v>624</v>
      </c>
      <c r="D167" s="630" t="s">
        <v>625</v>
      </c>
      <c r="E167" s="556" t="s">
        <v>626</v>
      </c>
      <c r="F167" s="497">
        <v>0</v>
      </c>
      <c r="G167" s="219">
        <v>8.1300000000000008</v>
      </c>
      <c r="H167" s="13">
        <f t="shared" ref="H167" si="276">G167*(1+$M$1)</f>
        <v>8.1300000000000008</v>
      </c>
      <c r="I167" s="102">
        <f t="shared" si="190"/>
        <v>0</v>
      </c>
      <c r="J167" s="13">
        <f t="shared" ref="J167" si="277">F167*G167</f>
        <v>0</v>
      </c>
      <c r="K167" s="13">
        <f t="shared" ref="K167" si="278">J167*(1+$M$1)</f>
        <v>0</v>
      </c>
      <c r="L167" s="13">
        <v>11.99</v>
      </c>
      <c r="M167" s="219">
        <f t="shared" si="268"/>
        <v>0</v>
      </c>
      <c r="N167" s="321" t="str">
        <f t="shared" si="193"/>
        <v/>
      </c>
      <c r="O167" s="1"/>
      <c r="P167" s="1"/>
      <c r="Q167" s="1" t="s">
        <v>522</v>
      </c>
      <c r="R167" s="1" t="s">
        <v>422</v>
      </c>
      <c r="T167"/>
    </row>
    <row r="168" spans="2:20">
      <c r="B168" t="str">
        <f>IF(E168&gt;=1,C168,"")</f>
        <v/>
      </c>
      <c r="C168" s="372" t="s">
        <v>627</v>
      </c>
      <c r="D168" s="630" t="str">
        <f>"Protective Flooring Mat Coverage - Estimated "&amp;E168&amp;" Square Footage"</f>
        <v>Protective Flooring Mat Coverage - Estimated 0 Square Footage</v>
      </c>
      <c r="E168" s="497">
        <v>0</v>
      </c>
      <c r="F168" s="500">
        <f>E168</f>
        <v>0</v>
      </c>
      <c r="G168" s="219"/>
      <c r="H168" s="13"/>
      <c r="I168" s="102"/>
      <c r="J168" s="13"/>
      <c r="K168" s="13"/>
      <c r="L168" s="13"/>
      <c r="M168" s="219"/>
      <c r="N168" s="321" t="str">
        <f t="shared" si="193"/>
        <v/>
      </c>
      <c r="O168" s="1"/>
      <c r="P168" s="1"/>
      <c r="Q168" s="1"/>
      <c r="R168" s="1" t="s">
        <v>422</v>
      </c>
      <c r="T168"/>
    </row>
    <row r="169" spans="2:20">
      <c r="B169" t="str">
        <f>IF(E169&gt;=1,C169,"")</f>
        <v>3RD-FREIGHT</v>
      </c>
      <c r="C169" s="372" t="s">
        <v>628</v>
      </c>
      <c r="D169" s="630" t="s">
        <v>629</v>
      </c>
      <c r="E169" s="558" t="s">
        <v>630</v>
      </c>
      <c r="F169" s="497" t="s">
        <v>43</v>
      </c>
      <c r="G169" s="219">
        <v>0</v>
      </c>
      <c r="H169" s="13"/>
      <c r="I169" s="102"/>
      <c r="J169" s="13"/>
      <c r="K169" s="13"/>
      <c r="L169" s="13"/>
      <c r="M169" s="219" t="str">
        <f>IF(F169="TBD","TBD",F169)</f>
        <v>TBD</v>
      </c>
      <c r="N169" s="321" t="str">
        <f t="shared" si="193"/>
        <v/>
      </c>
      <c r="O169" s="1"/>
      <c r="P169" s="1"/>
      <c r="Q169" s="1"/>
      <c r="R169" s="1" t="s">
        <v>422</v>
      </c>
      <c r="T169"/>
    </row>
    <row r="170" spans="2:20">
      <c r="B170" t="str">
        <f t="shared" ref="B170" si="279">IF(E170&gt;=1,C170,"")</f>
        <v/>
      </c>
      <c r="C170" s="372" t="s">
        <v>631</v>
      </c>
      <c r="D170" s="345"/>
      <c r="E170" s="425"/>
      <c r="F170" s="50"/>
      <c r="G170" s="219"/>
      <c r="H170" s="13"/>
      <c r="I170" s="102"/>
      <c r="J170" s="13"/>
      <c r="K170" s="13"/>
      <c r="L170" s="13"/>
      <c r="M170" s="219"/>
      <c r="N170" s="321" t="str">
        <f t="shared" si="193"/>
        <v/>
      </c>
      <c r="O170" s="1"/>
      <c r="P170" s="1"/>
      <c r="Q170" s="1"/>
      <c r="R170" s="1" t="s">
        <v>422</v>
      </c>
      <c r="T170"/>
    </row>
    <row r="171" spans="2:20">
      <c r="B171" t="str">
        <f t="shared" ref="B171:B174" si="280">IF(F171&gt;=1,C171,"")</f>
        <v/>
      </c>
      <c r="C171" s="372" t="s">
        <v>632</v>
      </c>
      <c r="D171" s="630" t="s">
        <v>633</v>
      </c>
      <c r="E171" s="556"/>
      <c r="F171" s="497">
        <v>0</v>
      </c>
      <c r="G171" s="586">
        <v>3.8</v>
      </c>
      <c r="H171" s="13">
        <f>G171*1.15</f>
        <v>4.3699999999999992</v>
      </c>
      <c r="I171" s="102">
        <f t="shared" ref="I171" si="281">F171*O171</f>
        <v>0</v>
      </c>
      <c r="J171" s="13">
        <f t="shared" ref="J171" si="282">F171*G171</f>
        <v>0</v>
      </c>
      <c r="K171" s="13">
        <f t="shared" ref="K171" si="283">J171*(1+$M$1)</f>
        <v>0</v>
      </c>
      <c r="L171" s="13">
        <f>H171*1.35</f>
        <v>5.8994999999999997</v>
      </c>
      <c r="M171" s="219">
        <f t="shared" ref="M171" si="284">F171*L171</f>
        <v>0</v>
      </c>
      <c r="N171" s="321" t="str">
        <f t="shared" si="193"/>
        <v/>
      </c>
      <c r="O171" s="1"/>
      <c r="P171" s="1"/>
      <c r="Q171" s="1"/>
      <c r="R171" s="1" t="s">
        <v>422</v>
      </c>
      <c r="T171"/>
    </row>
    <row r="172" spans="2:20">
      <c r="B172" t="str">
        <f t="shared" si="280"/>
        <v/>
      </c>
      <c r="C172" s="372" t="s">
        <v>634</v>
      </c>
      <c r="D172" s="630" t="s">
        <v>635</v>
      </c>
      <c r="E172" s="556"/>
      <c r="F172" s="497">
        <v>0</v>
      </c>
      <c r="G172" s="586">
        <v>4.59</v>
      </c>
      <c r="H172" s="13">
        <f>G172*1.15</f>
        <v>5.2784999999999993</v>
      </c>
      <c r="I172" s="102">
        <f t="shared" ref="I172" si="285">F172*O172</f>
        <v>0</v>
      </c>
      <c r="J172" s="13">
        <f t="shared" ref="J172" si="286">F172*G172</f>
        <v>0</v>
      </c>
      <c r="K172" s="13">
        <f t="shared" ref="K172" si="287">J172*(1+$M$1)</f>
        <v>0</v>
      </c>
      <c r="L172" s="13">
        <f>H172*1.25</f>
        <v>6.5981249999999996</v>
      </c>
      <c r="M172" s="219">
        <f t="shared" ref="M172" si="288">F172*L172</f>
        <v>0</v>
      </c>
      <c r="N172" s="321" t="str">
        <f t="shared" si="193"/>
        <v/>
      </c>
      <c r="O172" s="1"/>
      <c r="P172" s="1"/>
      <c r="Q172" s="1"/>
      <c r="R172" s="1" t="s">
        <v>422</v>
      </c>
      <c r="T172"/>
    </row>
    <row r="173" spans="2:20">
      <c r="B173" t="str">
        <f t="shared" si="280"/>
        <v/>
      </c>
      <c r="C173" s="372" t="s">
        <v>636</v>
      </c>
      <c r="D173" s="630" t="s">
        <v>637</v>
      </c>
      <c r="E173" s="556"/>
      <c r="F173" s="497">
        <v>0</v>
      </c>
      <c r="G173" s="586">
        <v>29.5</v>
      </c>
      <c r="H173" s="13">
        <f t="shared" ref="H173:H174" si="289">G173*1.15</f>
        <v>33.924999999999997</v>
      </c>
      <c r="I173" s="102">
        <f t="shared" ref="I173:I174" si="290">F173*O173</f>
        <v>0</v>
      </c>
      <c r="J173" s="13">
        <f t="shared" ref="J173:J174" si="291">F173*G173</f>
        <v>0</v>
      </c>
      <c r="K173" s="13">
        <f t="shared" ref="K173:K174" si="292">J173*(1+$M$1)</f>
        <v>0</v>
      </c>
      <c r="L173" s="13">
        <v>42</v>
      </c>
      <c r="M173" s="219">
        <f t="shared" ref="M173:M174" si="293">F173*L173</f>
        <v>0</v>
      </c>
      <c r="N173" s="321" t="str">
        <f t="shared" si="193"/>
        <v/>
      </c>
      <c r="O173" s="1"/>
      <c r="P173" s="1"/>
      <c r="Q173" s="1"/>
      <c r="R173" s="1" t="s">
        <v>422</v>
      </c>
      <c r="T173"/>
    </row>
    <row r="174" spans="2:20">
      <c r="B174" t="str">
        <f t="shared" si="280"/>
        <v/>
      </c>
      <c r="C174" s="372" t="s">
        <v>638</v>
      </c>
      <c r="D174" s="630" t="s">
        <v>639</v>
      </c>
      <c r="E174" s="556"/>
      <c r="F174" s="497">
        <v>0</v>
      </c>
      <c r="G174" s="586">
        <v>11.98</v>
      </c>
      <c r="H174" s="13">
        <f t="shared" si="289"/>
        <v>13.776999999999999</v>
      </c>
      <c r="I174" s="102">
        <f t="shared" si="290"/>
        <v>0</v>
      </c>
      <c r="J174" s="13">
        <f t="shared" si="291"/>
        <v>0</v>
      </c>
      <c r="K174" s="13">
        <f t="shared" si="292"/>
        <v>0</v>
      </c>
      <c r="L174" s="13">
        <f>ROUND(H174*1.35,2)</f>
        <v>18.600000000000001</v>
      </c>
      <c r="M174" s="219">
        <f t="shared" si="293"/>
        <v>0</v>
      </c>
      <c r="N174" s="321" t="str">
        <f t="shared" si="193"/>
        <v/>
      </c>
      <c r="O174" s="1"/>
      <c r="P174" s="1"/>
      <c r="Q174" s="1"/>
      <c r="R174" s="1" t="s">
        <v>422</v>
      </c>
      <c r="T174"/>
    </row>
    <row r="175" spans="2:20">
      <c r="B175" t="str">
        <f>IF(F175&gt;=1,C175,"")</f>
        <v/>
      </c>
      <c r="C175" s="371" t="s">
        <v>640</v>
      </c>
      <c r="D175" s="292" t="s">
        <v>641</v>
      </c>
      <c r="E175" s="463"/>
      <c r="F175" s="459"/>
      <c r="G175" s="194">
        <v>191</v>
      </c>
      <c r="H175" s="194">
        <f t="shared" si="237"/>
        <v>191</v>
      </c>
      <c r="I175" s="195">
        <f t="shared" si="190"/>
        <v>0</v>
      </c>
      <c r="J175" s="194">
        <f t="shared" si="238"/>
        <v>0</v>
      </c>
      <c r="K175" s="194">
        <f t="shared" si="239"/>
        <v>0</v>
      </c>
      <c r="L175" s="194">
        <f>ROUND(H175*1.4,2)</f>
        <v>267.39999999999998</v>
      </c>
      <c r="M175" s="220">
        <f t="shared" si="268"/>
        <v>0</v>
      </c>
      <c r="N175" s="321" t="str">
        <f t="shared" si="193"/>
        <v/>
      </c>
      <c r="O175" s="1"/>
      <c r="P175" s="1"/>
      <c r="Q175" s="1" t="s">
        <v>421</v>
      </c>
      <c r="R175" s="1" t="s">
        <v>422</v>
      </c>
      <c r="T175"/>
    </row>
    <row r="176" spans="2:20" ht="15.75">
      <c r="C176" s="142"/>
      <c r="G176" s="185"/>
      <c r="H176" s="192" t="s">
        <v>642</v>
      </c>
      <c r="I176" s="193">
        <f>SUM(I5:I175)</f>
        <v>1276.8619999999999</v>
      </c>
      <c r="J176" s="308" t="s">
        <v>405</v>
      </c>
      <c r="K176" s="309">
        <f>SUM(K51:K175)</f>
        <v>3440.88</v>
      </c>
      <c r="L176" s="308" t="s">
        <v>405</v>
      </c>
      <c r="M176" s="309">
        <f>SUM(M51:M175)</f>
        <v>5922.4400000000005</v>
      </c>
      <c r="N176" s="131"/>
      <c r="O176" s="1"/>
      <c r="P176" s="1"/>
      <c r="R176" s="46"/>
      <c r="T176"/>
    </row>
    <row r="177" spans="1:20" ht="15.75">
      <c r="C177" s="142"/>
      <c r="G177" s="185"/>
      <c r="H177" s="192" t="s">
        <v>643</v>
      </c>
      <c r="I177" s="186"/>
      <c r="J177" s="185"/>
      <c r="K177" s="197">
        <f>K176+K48+K36</f>
        <v>8763.380000000001</v>
      </c>
      <c r="L177" s="185"/>
      <c r="M177" s="185"/>
      <c r="O177" s="1"/>
      <c r="P177" s="1"/>
      <c r="R177" s="46"/>
      <c r="T177"/>
    </row>
    <row r="178" spans="1:20" ht="15.75">
      <c r="C178" s="142"/>
      <c r="G178" s="185"/>
      <c r="H178" s="192" t="s">
        <v>644</v>
      </c>
      <c r="I178" s="186"/>
      <c r="J178" s="185"/>
      <c r="K178" s="185"/>
      <c r="M178" s="197">
        <f>M176+M48+M36</f>
        <v>18164.190000000002</v>
      </c>
      <c r="O178" s="1"/>
      <c r="P178" s="1"/>
      <c r="R178" s="46"/>
      <c r="T178"/>
    </row>
    <row r="179" spans="1:20">
      <c r="C179" s="142"/>
      <c r="G179" s="185"/>
      <c r="H179" s="185"/>
      <c r="I179" s="186"/>
      <c r="J179" s="185"/>
      <c r="K179" s="185"/>
      <c r="L179" s="185"/>
      <c r="M179" s="185"/>
      <c r="O179" s="1"/>
      <c r="P179" s="1"/>
      <c r="R179" s="46"/>
      <c r="T179"/>
    </row>
    <row r="180" spans="1:20">
      <c r="B180" t="str">
        <f>IF(F180&gt;=1,C180,"")</f>
        <v/>
      </c>
      <c r="G180" s="7"/>
      <c r="H180" s="7"/>
      <c r="I180" s="7"/>
      <c r="J180" s="7"/>
      <c r="K180" s="7"/>
      <c r="R180" s="46"/>
      <c r="T180"/>
    </row>
    <row r="181" spans="1:20" ht="18.75">
      <c r="A181" s="858" t="s">
        <v>645</v>
      </c>
      <c r="B181" s="858"/>
      <c r="C181" s="858"/>
      <c r="D181" s="858"/>
      <c r="E181" s="858"/>
      <c r="F181" s="858"/>
      <c r="G181" s="449"/>
      <c r="H181" s="449"/>
      <c r="I181" s="450"/>
      <c r="J181" s="449"/>
      <c r="K181" s="449"/>
      <c r="L181" s="451"/>
      <c r="M181" s="452"/>
      <c r="N181" s="448"/>
      <c r="O181" s="1"/>
      <c r="P181" s="1"/>
      <c r="R181" s="46"/>
      <c r="T181"/>
    </row>
    <row r="182" spans="1:20">
      <c r="A182" s="130" t="s">
        <v>329</v>
      </c>
      <c r="B182" s="130"/>
      <c r="C182" s="329" t="s">
        <v>174</v>
      </c>
      <c r="D182" s="130" t="s">
        <v>175</v>
      </c>
      <c r="E182" s="130"/>
      <c r="F182" s="130" t="s">
        <v>331</v>
      </c>
      <c r="G182" s="130" t="s">
        <v>646</v>
      </c>
      <c r="H182" s="130" t="s">
        <v>332</v>
      </c>
      <c r="I182" s="130" t="s">
        <v>333</v>
      </c>
      <c r="J182" s="130" t="s">
        <v>335</v>
      </c>
      <c r="K182" s="130" t="s">
        <v>336</v>
      </c>
      <c r="L182" s="130" t="s">
        <v>647</v>
      </c>
      <c r="M182" s="130" t="s">
        <v>648</v>
      </c>
      <c r="N182" s="130" t="s">
        <v>337</v>
      </c>
      <c r="R182" s="46"/>
      <c r="T182"/>
    </row>
    <row r="183" spans="1:20">
      <c r="B183" t="str">
        <f t="shared" ref="B183:B195" si="294">IF(F183&gt;=1,C183,"")</f>
        <v>6820H-LAD</v>
      </c>
      <c r="C183" s="216" t="s">
        <v>649</v>
      </c>
      <c r="D183" s="55" t="s">
        <v>650</v>
      </c>
      <c r="E183" s="55"/>
      <c r="F183" s="1">
        <f>(F13*2)</f>
        <v>4</v>
      </c>
      <c r="G183" s="1">
        <f>(F6+F13)</f>
        <v>4</v>
      </c>
      <c r="H183" s="54">
        <f>VLOOKUP(C183,lists!I:L,4,FALSE)</f>
        <v>15</v>
      </c>
      <c r="I183" s="51">
        <f t="shared" ref="I183:I218" si="295">H183*(1+$M$1)</f>
        <v>15</v>
      </c>
      <c r="J183" s="51">
        <f>F183*H183</f>
        <v>60</v>
      </c>
      <c r="K183" s="51">
        <f t="shared" ref="K183:K215" si="296">J183*(1+$M$1)</f>
        <v>60</v>
      </c>
      <c r="L183" s="13">
        <f t="shared" ref="L183:L216" si="297">ROUND(H183*(1+$M$2),2)</f>
        <v>34.5</v>
      </c>
      <c r="M183" s="51">
        <f t="shared" ref="M183:M195" si="298">F183*L183</f>
        <v>138</v>
      </c>
      <c r="N183" s="321">
        <f t="shared" ref="N183:N219" si="299">IFERROR((M183/K183)-1,"")</f>
        <v>1.2999999999999998</v>
      </c>
      <c r="R183" s="46"/>
      <c r="T183"/>
    </row>
    <row r="184" spans="1:20">
      <c r="B184" t="str">
        <f t="shared" si="294"/>
        <v>6820H-LAK</v>
      </c>
      <c r="C184" s="1" t="s">
        <v>651</v>
      </c>
      <c r="D184" s="53" t="s">
        <v>652</v>
      </c>
      <c r="E184" s="53"/>
      <c r="F184" s="1">
        <f>CEILING(((F5+F6)*4)+1,1)</f>
        <v>17</v>
      </c>
      <c r="G184" s="1">
        <f>((F5+F6)*4)</f>
        <v>16</v>
      </c>
      <c r="H184" s="54">
        <f>VLOOKUP(C184,lists!I:L,4,FALSE)</f>
        <v>2.75</v>
      </c>
      <c r="I184" s="51">
        <f t="shared" si="295"/>
        <v>2.75</v>
      </c>
      <c r="J184" s="51">
        <f t="shared" ref="J184:J212" si="300">F184*H184</f>
        <v>46.75</v>
      </c>
      <c r="K184" s="51">
        <f t="shared" si="296"/>
        <v>46.75</v>
      </c>
      <c r="L184" s="13">
        <f t="shared" si="297"/>
        <v>6.33</v>
      </c>
      <c r="M184" s="51">
        <f t="shared" si="298"/>
        <v>107.61</v>
      </c>
      <c r="N184" s="321">
        <f t="shared" si="299"/>
        <v>1.3018181818181818</v>
      </c>
      <c r="R184" s="46"/>
      <c r="T184"/>
    </row>
    <row r="185" spans="1:20">
      <c r="B185" t="str">
        <f t="shared" si="294"/>
        <v>6820H-LDD</v>
      </c>
      <c r="C185" s="216" t="s">
        <v>653</v>
      </c>
      <c r="D185" s="53" t="s">
        <v>654</v>
      </c>
      <c r="E185" s="6">
        <v>0</v>
      </c>
      <c r="F185" s="1">
        <f>VLOOKUP!E44</f>
        <v>4</v>
      </c>
      <c r="G185" s="1">
        <f>VLOOKUP!E44</f>
        <v>4</v>
      </c>
      <c r="H185" s="54">
        <f>VLOOKUP(C185,lists!I:L,4,FALSE)</f>
        <v>81.06</v>
      </c>
      <c r="I185" s="51">
        <f t="shared" si="295"/>
        <v>81.06</v>
      </c>
      <c r="J185" s="51">
        <f t="shared" si="300"/>
        <v>324.24</v>
      </c>
      <c r="K185" s="51">
        <f t="shared" si="296"/>
        <v>324.24</v>
      </c>
      <c r="L185" s="13">
        <f>lists!N54</f>
        <v>158.72999999999999</v>
      </c>
      <c r="M185" s="51">
        <f t="shared" si="298"/>
        <v>634.91999999999996</v>
      </c>
      <c r="N185" s="321">
        <f t="shared" si="299"/>
        <v>0.95817912657290871</v>
      </c>
      <c r="R185" s="46"/>
      <c r="T185"/>
    </row>
    <row r="186" spans="1:20">
      <c r="B186" t="str">
        <f t="shared" si="294"/>
        <v/>
      </c>
      <c r="C186" s="216" t="s">
        <v>655</v>
      </c>
      <c r="D186" s="53" t="s">
        <v>656</v>
      </c>
      <c r="E186" s="6"/>
      <c r="F186" s="1">
        <f>VLOOKUP!E45</f>
        <v>0</v>
      </c>
      <c r="G186" s="1">
        <f>VLOOKUP!E45</f>
        <v>0</v>
      </c>
      <c r="H186" s="54">
        <f>VLOOKUP(C186,lists!I:L,4,FALSE)</f>
        <v>6</v>
      </c>
      <c r="I186" s="51">
        <f t="shared" si="295"/>
        <v>6</v>
      </c>
      <c r="J186" s="51">
        <f t="shared" si="300"/>
        <v>0</v>
      </c>
      <c r="K186" s="51">
        <f t="shared" si="296"/>
        <v>0</v>
      </c>
      <c r="L186" s="13">
        <f t="shared" si="297"/>
        <v>13.8</v>
      </c>
      <c r="M186" s="51">
        <f t="shared" si="298"/>
        <v>0</v>
      </c>
      <c r="N186" s="321" t="str">
        <f t="shared" si="299"/>
        <v/>
      </c>
      <c r="R186" s="46"/>
      <c r="T186"/>
    </row>
    <row r="187" spans="1:20">
      <c r="B187" t="str">
        <f t="shared" si="294"/>
        <v>6820H-LP</v>
      </c>
      <c r="C187" s="216" t="s">
        <v>657</v>
      </c>
      <c r="D187" s="53" t="s">
        <v>658</v>
      </c>
      <c r="E187" s="53"/>
      <c r="F187" s="1">
        <f>VLOOKUP!E48+F28</f>
        <v>12</v>
      </c>
      <c r="G187" s="1">
        <f>VLOOKUP!E48 + F28</f>
        <v>12</v>
      </c>
      <c r="H187" s="54">
        <f>VLOOKUP(C187,lists!I:L,4,FALSE)</f>
        <v>8.9499999999999993</v>
      </c>
      <c r="I187" s="51">
        <f t="shared" si="295"/>
        <v>8.9499999999999993</v>
      </c>
      <c r="J187" s="51">
        <f t="shared" si="300"/>
        <v>107.39999999999999</v>
      </c>
      <c r="K187" s="51">
        <f t="shared" si="296"/>
        <v>107.39999999999999</v>
      </c>
      <c r="L187" s="13">
        <f>ROUND(H187*(1+$M$2),2)</f>
        <v>20.59</v>
      </c>
      <c r="M187" s="51">
        <f t="shared" si="298"/>
        <v>247.07999999999998</v>
      </c>
      <c r="N187" s="321">
        <f t="shared" si="299"/>
        <v>1.3005586592178773</v>
      </c>
      <c r="O187">
        <f>IF(VLOOKUP!E17="Yes",Calcs!F187-2,Calcs!F187)</f>
        <v>12</v>
      </c>
      <c r="R187" s="46"/>
      <c r="T187"/>
    </row>
    <row r="188" spans="1:20">
      <c r="B188" t="str">
        <f t="shared" si="294"/>
        <v/>
      </c>
      <c r="C188" s="216" t="s">
        <v>659</v>
      </c>
      <c r="D188" s="53" t="s">
        <v>660</v>
      </c>
      <c r="E188" s="53"/>
      <c r="F188" s="1">
        <f>VLOOKUP!E49</f>
        <v>0</v>
      </c>
      <c r="G188" s="1"/>
      <c r="H188" s="54">
        <v>5.84</v>
      </c>
      <c r="I188" s="51">
        <f t="shared" ref="I188" si="301">H188*(1+$M$1)</f>
        <v>5.84</v>
      </c>
      <c r="J188" s="51">
        <f t="shared" ref="J188" si="302">F188*H188</f>
        <v>0</v>
      </c>
      <c r="K188" s="51">
        <f t="shared" ref="K188" si="303">J188*(1+$M$1)</f>
        <v>0</v>
      </c>
      <c r="L188" s="13">
        <f>ROUND(H188*(1+$M$2),2)</f>
        <v>13.43</v>
      </c>
      <c r="M188" s="51">
        <f t="shared" ref="M188" si="304">F188*L188</f>
        <v>0</v>
      </c>
      <c r="N188" s="321" t="str">
        <f t="shared" ref="N188" si="305">IFERROR((M188/K188)-1,"")</f>
        <v/>
      </c>
      <c r="R188" s="46"/>
      <c r="T188"/>
    </row>
    <row r="189" spans="1:20">
      <c r="B189" t="str">
        <f t="shared" si="294"/>
        <v>6820H-LY</v>
      </c>
      <c r="C189" s="215" t="s">
        <v>661</v>
      </c>
      <c r="D189" s="53" t="s">
        <v>662</v>
      </c>
      <c r="E189" s="53"/>
      <c r="F189" s="1">
        <f>F39*2</f>
        <v>2</v>
      </c>
      <c r="G189" s="1">
        <f>F39*2</f>
        <v>2</v>
      </c>
      <c r="H189" s="54">
        <f>VLOOKUP(C189,lists!I:L,4,FALSE)</f>
        <v>6.5</v>
      </c>
      <c r="I189" s="51">
        <f t="shared" si="295"/>
        <v>6.5</v>
      </c>
      <c r="J189" s="51">
        <f t="shared" si="300"/>
        <v>13</v>
      </c>
      <c r="K189" s="51">
        <f t="shared" si="296"/>
        <v>13</v>
      </c>
      <c r="L189" s="13">
        <f t="shared" si="297"/>
        <v>14.95</v>
      </c>
      <c r="M189" s="51">
        <f t="shared" si="298"/>
        <v>29.9</v>
      </c>
      <c r="N189" s="321">
        <f t="shared" si="299"/>
        <v>1.2999999999999998</v>
      </c>
      <c r="R189" s="46"/>
      <c r="T189"/>
    </row>
    <row r="190" spans="1:20">
      <c r="B190" t="str">
        <f t="shared" si="294"/>
        <v>6820H-LAI</v>
      </c>
      <c r="C190" s="1" t="s">
        <v>663</v>
      </c>
      <c r="D190" s="53" t="s">
        <v>664</v>
      </c>
      <c r="E190" s="53"/>
      <c r="F190" s="1">
        <f>F30*2</f>
        <v>8</v>
      </c>
      <c r="G190" s="1">
        <f>F30*2</f>
        <v>8</v>
      </c>
      <c r="H190" s="54">
        <f>VLOOKUP(C190,lists!I:L,4,FALSE)</f>
        <v>9.5950000000000006</v>
      </c>
      <c r="I190" s="51">
        <f t="shared" si="295"/>
        <v>9.5950000000000006</v>
      </c>
      <c r="J190" s="51">
        <f t="shared" si="300"/>
        <v>76.760000000000005</v>
      </c>
      <c r="K190" s="51">
        <f t="shared" si="296"/>
        <v>76.760000000000005</v>
      </c>
      <c r="L190" s="13">
        <f t="shared" si="297"/>
        <v>22.07</v>
      </c>
      <c r="M190" s="51">
        <f t="shared" si="298"/>
        <v>176.56</v>
      </c>
      <c r="N190" s="321">
        <f t="shared" si="299"/>
        <v>1.3001563314226159</v>
      </c>
      <c r="R190" s="46"/>
      <c r="T190"/>
    </row>
    <row r="191" spans="1:20">
      <c r="B191" t="str">
        <f t="shared" si="294"/>
        <v>6820H-LC</v>
      </c>
      <c r="C191" s="1" t="s">
        <v>665</v>
      </c>
      <c r="D191" s="53" t="s">
        <v>666</v>
      </c>
      <c r="E191" s="53"/>
      <c r="F191" s="1">
        <f>CEILING((F187+F195+F209+F210+F213+F218)*1.02,2)</f>
        <v>64</v>
      </c>
      <c r="G191" s="1">
        <f>(F187+F195+F209+F210+F213+F218)</f>
        <v>62</v>
      </c>
      <c r="H191" s="54">
        <f>VLOOKUP(C191,lists!I:L,4,FALSE)</f>
        <v>0.34</v>
      </c>
      <c r="I191" s="51">
        <f t="shared" si="295"/>
        <v>0.34</v>
      </c>
      <c r="J191" s="51">
        <f t="shared" si="300"/>
        <v>21.76</v>
      </c>
      <c r="K191" s="51">
        <f t="shared" si="296"/>
        <v>21.76</v>
      </c>
      <c r="L191" s="13">
        <f t="shared" si="297"/>
        <v>0.78</v>
      </c>
      <c r="M191" s="51">
        <f t="shared" si="298"/>
        <v>49.92</v>
      </c>
      <c r="N191" s="321">
        <f t="shared" si="299"/>
        <v>1.2941176470588234</v>
      </c>
      <c r="R191" s="46"/>
      <c r="T191"/>
    </row>
    <row r="192" spans="1:20">
      <c r="B192" t="str">
        <f t="shared" si="294"/>
        <v>6820H-LX</v>
      </c>
      <c r="C192" s="1" t="s">
        <v>667</v>
      </c>
      <c r="D192" s="55" t="s">
        <v>668</v>
      </c>
      <c r="E192" s="55"/>
      <c r="F192" s="1">
        <f>F39*2</f>
        <v>2</v>
      </c>
      <c r="G192" s="1">
        <f>F39*2</f>
        <v>2</v>
      </c>
      <c r="H192" s="54">
        <f>VLOOKUP(C192,lists!I:L,4,FALSE)</f>
        <v>15.5</v>
      </c>
      <c r="I192" s="51">
        <f t="shared" si="295"/>
        <v>15.5</v>
      </c>
      <c r="J192" s="51">
        <f t="shared" si="300"/>
        <v>31</v>
      </c>
      <c r="K192" s="51">
        <f t="shared" si="296"/>
        <v>31</v>
      </c>
      <c r="L192" s="13">
        <f t="shared" si="297"/>
        <v>35.65</v>
      </c>
      <c r="M192" s="51">
        <f t="shared" si="298"/>
        <v>71.3</v>
      </c>
      <c r="N192" s="321">
        <f t="shared" si="299"/>
        <v>1.2999999999999998</v>
      </c>
      <c r="R192" s="46"/>
      <c r="T192"/>
    </row>
    <row r="193" spans="2:20">
      <c r="B193" t="str">
        <f t="shared" si="294"/>
        <v>6820H-LF</v>
      </c>
      <c r="C193" s="1" t="s">
        <v>669</v>
      </c>
      <c r="D193" s="53" t="s">
        <v>670</v>
      </c>
      <c r="E193" s="53"/>
      <c r="F193" s="1">
        <f>CEILING((F30+F216)*1.05,1)</f>
        <v>5</v>
      </c>
      <c r="G193" s="1">
        <f>F30+F216</f>
        <v>4</v>
      </c>
      <c r="H193" s="54">
        <f>VLOOKUP(C193,lists!I:L,4,FALSE)</f>
        <v>0.25</v>
      </c>
      <c r="I193" s="51">
        <f t="shared" si="295"/>
        <v>0.25</v>
      </c>
      <c r="J193" s="51">
        <f>F193*H193</f>
        <v>1.25</v>
      </c>
      <c r="K193" s="51">
        <f t="shared" si="296"/>
        <v>1.25</v>
      </c>
      <c r="L193" s="13">
        <f t="shared" si="297"/>
        <v>0.57999999999999996</v>
      </c>
      <c r="M193" s="51">
        <f t="shared" si="298"/>
        <v>2.9</v>
      </c>
      <c r="N193" s="321">
        <f t="shared" si="299"/>
        <v>1.3199999999999998</v>
      </c>
      <c r="R193" s="46"/>
      <c r="T193"/>
    </row>
    <row r="194" spans="2:20" ht="30.75" customHeight="1">
      <c r="B194" t="str">
        <f t="shared" si="294"/>
        <v>6820H-LB</v>
      </c>
      <c r="C194" s="1" t="s">
        <v>671</v>
      </c>
      <c r="D194" s="53" t="s">
        <v>672</v>
      </c>
      <c r="E194" s="53"/>
      <c r="F194" s="1">
        <f>CEILING(((F187+(F195*2)+(F209*4)+(F210*2)+(F218*2))*1.1),1)</f>
        <v>137</v>
      </c>
      <c r="G194" s="1">
        <f>F187+(F195*2)+(F209*4)+(F210*2)+(F218*2)</f>
        <v>124</v>
      </c>
      <c r="H194" s="54">
        <f>VLOOKUP(C194,lists!I:L,4,FALSE)</f>
        <v>0.18</v>
      </c>
      <c r="I194" s="51">
        <f t="shared" si="295"/>
        <v>0.18</v>
      </c>
      <c r="J194" s="51">
        <f t="shared" si="300"/>
        <v>24.66</v>
      </c>
      <c r="K194" s="51">
        <f t="shared" si="296"/>
        <v>24.66</v>
      </c>
      <c r="L194" s="13">
        <f t="shared" si="297"/>
        <v>0.41</v>
      </c>
      <c r="M194" s="51">
        <f t="shared" si="298"/>
        <v>56.169999999999995</v>
      </c>
      <c r="N194" s="321">
        <f t="shared" si="299"/>
        <v>1.2777777777777777</v>
      </c>
      <c r="R194" s="46"/>
      <c r="T194"/>
    </row>
    <row r="195" spans="2:20">
      <c r="B195" t="str">
        <f t="shared" si="294"/>
        <v>6820H-LA</v>
      </c>
      <c r="C195" s="1" t="s">
        <v>673</v>
      </c>
      <c r="D195" s="53" t="s">
        <v>674</v>
      </c>
      <c r="E195" s="53"/>
      <c r="F195" s="1">
        <f>(F7*4)+(F8*6)+(F9*8)+(F10*10)+(F12*4)+(F14*2)+(F15*1.5)+(F32*2)+(F33*2)+(F34*2)-(F29*2)</f>
        <v>44</v>
      </c>
      <c r="G195" s="1">
        <f>(F7*4)+(F8*6)+(F9*8)+(F10*10)+(F12*4)+F14+(F15*1.5)</f>
        <v>42</v>
      </c>
      <c r="H195" s="54">
        <f>VLOOKUP(C195,lists!I:L,4,FALSE)</f>
        <v>1</v>
      </c>
      <c r="I195" s="51">
        <f t="shared" si="295"/>
        <v>1</v>
      </c>
      <c r="J195" s="51">
        <f t="shared" si="300"/>
        <v>44</v>
      </c>
      <c r="K195" s="51">
        <f t="shared" si="296"/>
        <v>44</v>
      </c>
      <c r="L195" s="13">
        <f t="shared" si="297"/>
        <v>2.2999999999999998</v>
      </c>
      <c r="M195" s="51">
        <f t="shared" si="298"/>
        <v>101.19999999999999</v>
      </c>
      <c r="N195" s="321">
        <f t="shared" si="299"/>
        <v>1.2999999999999998</v>
      </c>
      <c r="R195" s="46"/>
      <c r="T195"/>
    </row>
    <row r="196" spans="2:20">
      <c r="C196" s="1" t="s">
        <v>675</v>
      </c>
      <c r="D196" s="53" t="s">
        <v>676</v>
      </c>
      <c r="E196" s="53"/>
      <c r="F196" s="1">
        <v>0</v>
      </c>
      <c r="G196" s="1"/>
      <c r="H196" s="54">
        <f>VLOOKUP(C196,lists!I:L,4,FALSE)</f>
        <v>0.95</v>
      </c>
      <c r="I196" s="51">
        <f t="shared" ref="I196:I197" si="306">H196*(1+$M$1)</f>
        <v>0.95</v>
      </c>
      <c r="J196" s="51">
        <f t="shared" ref="J196:J197" si="307">F196*H196</f>
        <v>0</v>
      </c>
      <c r="K196" s="51">
        <f t="shared" ref="K196:K197" si="308">J196*(1+$M$1)</f>
        <v>0</v>
      </c>
      <c r="L196" s="13">
        <f t="shared" ref="L196:L197" si="309">ROUND(H196*(1+$M$2),2)</f>
        <v>2.19</v>
      </c>
      <c r="M196" s="51">
        <f t="shared" ref="M196:M197" si="310">F196*L196</f>
        <v>0</v>
      </c>
      <c r="N196" s="321" t="str">
        <f t="shared" ref="N196:N197" si="311">IFERROR((M196/K196)-1,"")</f>
        <v/>
      </c>
      <c r="R196" s="46"/>
      <c r="T196"/>
    </row>
    <row r="197" spans="2:20">
      <c r="B197" t="str">
        <f t="shared" ref="B197:B220" si="312">IF(F197&gt;=1,C197,"")</f>
        <v/>
      </c>
      <c r="C197" s="1" t="s">
        <v>677</v>
      </c>
      <c r="D197" s="53" t="s">
        <v>678</v>
      </c>
      <c r="E197" s="53"/>
      <c r="F197" s="1">
        <v>0</v>
      </c>
      <c r="G197" s="1">
        <v>0</v>
      </c>
      <c r="H197" s="54">
        <f>VLOOKUP(C197,lists!I:L,4,FALSE)</f>
        <v>0.55000000000000004</v>
      </c>
      <c r="I197" s="51">
        <f t="shared" si="306"/>
        <v>0.55000000000000004</v>
      </c>
      <c r="J197" s="51">
        <f t="shared" si="307"/>
        <v>0</v>
      </c>
      <c r="K197" s="51">
        <f t="shared" si="308"/>
        <v>0</v>
      </c>
      <c r="L197" s="13">
        <f t="shared" si="309"/>
        <v>1.27</v>
      </c>
      <c r="M197" s="51">
        <f t="shared" si="310"/>
        <v>0</v>
      </c>
      <c r="N197" s="321" t="str">
        <f t="shared" si="311"/>
        <v/>
      </c>
      <c r="R197" s="46"/>
      <c r="T197"/>
    </row>
    <row r="198" spans="2:20">
      <c r="B198" t="str">
        <f t="shared" si="312"/>
        <v>6820H-LG</v>
      </c>
      <c r="C198" s="1" t="s">
        <v>679</v>
      </c>
      <c r="D198" s="53" t="s">
        <v>680</v>
      </c>
      <c r="E198" s="53"/>
      <c r="F198" s="1">
        <f>CEILING((F22*2-(F13*10))*1.02, 1)</f>
        <v>19</v>
      </c>
      <c r="G198" s="1">
        <f>F22*2-(F13*10)</f>
        <v>18</v>
      </c>
      <c r="H198" s="54">
        <f>VLOOKUP(C198,lists!I:L,4,FALSE)</f>
        <v>0.4</v>
      </c>
      <c r="I198" s="51">
        <f t="shared" si="295"/>
        <v>0.4</v>
      </c>
      <c r="J198" s="51">
        <f t="shared" si="300"/>
        <v>7.6000000000000005</v>
      </c>
      <c r="K198" s="51">
        <f t="shared" si="296"/>
        <v>7.6000000000000005</v>
      </c>
      <c r="L198" s="13">
        <f t="shared" si="297"/>
        <v>0.92</v>
      </c>
      <c r="M198" s="51">
        <f t="shared" ref="M198:M217" si="313">F198*L198</f>
        <v>17.48</v>
      </c>
      <c r="N198" s="321">
        <f t="shared" si="299"/>
        <v>1.2999999999999998</v>
      </c>
      <c r="R198" s="46"/>
      <c r="T198"/>
    </row>
    <row r="199" spans="2:20">
      <c r="B199" t="str">
        <f t="shared" si="312"/>
        <v>6820H-LI</v>
      </c>
      <c r="C199" s="1" t="s">
        <v>681</v>
      </c>
      <c r="D199" s="53" t="s">
        <v>682</v>
      </c>
      <c r="E199" s="53"/>
      <c r="F199" s="1">
        <f>F13*2</f>
        <v>4</v>
      </c>
      <c r="G199" s="1">
        <f>F13*2</f>
        <v>4</v>
      </c>
      <c r="H199" s="54">
        <f>VLOOKUP(C199,lists!I:L,4,FALSE)</f>
        <v>0.26</v>
      </c>
      <c r="I199" s="51">
        <f t="shared" si="295"/>
        <v>0.26</v>
      </c>
      <c r="J199" s="51">
        <f t="shared" si="300"/>
        <v>1.04</v>
      </c>
      <c r="K199" s="51">
        <f t="shared" si="296"/>
        <v>1.04</v>
      </c>
      <c r="L199" s="13">
        <f t="shared" si="297"/>
        <v>0.6</v>
      </c>
      <c r="M199" s="51">
        <f t="shared" si="313"/>
        <v>2.4</v>
      </c>
      <c r="N199" s="321">
        <f t="shared" si="299"/>
        <v>1.3076923076923075</v>
      </c>
      <c r="R199" s="46"/>
      <c r="T199"/>
    </row>
    <row r="200" spans="2:20">
      <c r="B200" t="str">
        <f t="shared" si="312"/>
        <v>6820H-LJ</v>
      </c>
      <c r="C200" s="1" t="s">
        <v>683</v>
      </c>
      <c r="D200" s="53" t="s">
        <v>684</v>
      </c>
      <c r="E200" s="53"/>
      <c r="F200" s="1">
        <f>F6*2</f>
        <v>4</v>
      </c>
      <c r="G200" s="1">
        <f>F6*2</f>
        <v>4</v>
      </c>
      <c r="H200" s="54">
        <f>VLOOKUP(C200,lists!I:L,4,FALSE)</f>
        <v>0.5</v>
      </c>
      <c r="I200" s="51">
        <f t="shared" si="295"/>
        <v>0.5</v>
      </c>
      <c r="J200" s="51">
        <f t="shared" si="300"/>
        <v>2</v>
      </c>
      <c r="K200" s="51">
        <f t="shared" si="296"/>
        <v>2</v>
      </c>
      <c r="L200" s="13">
        <f t="shared" si="297"/>
        <v>1.1499999999999999</v>
      </c>
      <c r="M200" s="51">
        <f t="shared" si="313"/>
        <v>4.5999999999999996</v>
      </c>
      <c r="N200" s="321">
        <f t="shared" si="299"/>
        <v>1.2999999999999998</v>
      </c>
      <c r="R200" s="46"/>
      <c r="T200"/>
    </row>
    <row r="201" spans="2:20">
      <c r="B201" t="str">
        <f t="shared" si="312"/>
        <v>6820H-LK</v>
      </c>
      <c r="C201" s="1" t="s">
        <v>685</v>
      </c>
      <c r="D201" s="53" t="s">
        <v>686</v>
      </c>
      <c r="E201" s="53"/>
      <c r="F201" s="1">
        <f>F189+(F199+F200)*2</f>
        <v>18</v>
      </c>
      <c r="G201" s="1">
        <f>F189+(F199+F200)*2</f>
        <v>18</v>
      </c>
      <c r="H201" s="54">
        <f>VLOOKUP(C201,lists!I:L,4,FALSE)</f>
        <v>0.09</v>
      </c>
      <c r="I201" s="51">
        <f t="shared" si="295"/>
        <v>0.09</v>
      </c>
      <c r="J201" s="51">
        <f t="shared" si="300"/>
        <v>1.6199999999999999</v>
      </c>
      <c r="K201" s="51">
        <f t="shared" si="296"/>
        <v>1.6199999999999999</v>
      </c>
      <c r="L201" s="13">
        <f t="shared" si="297"/>
        <v>0.21</v>
      </c>
      <c r="M201" s="51">
        <f t="shared" si="313"/>
        <v>3.78</v>
      </c>
      <c r="N201" s="321">
        <f t="shared" si="299"/>
        <v>1.3333333333333335</v>
      </c>
      <c r="R201" s="46"/>
      <c r="T201"/>
    </row>
    <row r="202" spans="2:20">
      <c r="B202" t="str">
        <f t="shared" si="312"/>
        <v>6820H-LL</v>
      </c>
      <c r="C202" s="1" t="s">
        <v>687</v>
      </c>
      <c r="D202" s="53" t="s">
        <v>688</v>
      </c>
      <c r="E202" s="53"/>
      <c r="F202" s="1">
        <f>F199+F200+F189</f>
        <v>10</v>
      </c>
      <c r="G202" s="1">
        <f>F199+F200+F189</f>
        <v>10</v>
      </c>
      <c r="H202" s="54">
        <f>VLOOKUP(C202,lists!I:L,4,FALSE)</f>
        <v>0.14000000000000001</v>
      </c>
      <c r="I202" s="51">
        <f t="shared" si="295"/>
        <v>0.14000000000000001</v>
      </c>
      <c r="J202" s="51">
        <f t="shared" si="300"/>
        <v>1.4000000000000001</v>
      </c>
      <c r="K202" s="51">
        <f t="shared" si="296"/>
        <v>1.4000000000000001</v>
      </c>
      <c r="L202" s="13">
        <f t="shared" si="297"/>
        <v>0.32</v>
      </c>
      <c r="M202" s="51">
        <f t="shared" si="313"/>
        <v>3.2</v>
      </c>
      <c r="N202" s="321">
        <f t="shared" si="299"/>
        <v>1.2857142857142856</v>
      </c>
      <c r="R202" s="46"/>
      <c r="T202"/>
    </row>
    <row r="203" spans="2:20">
      <c r="B203" t="str">
        <f t="shared" si="312"/>
        <v>6820H-LT</v>
      </c>
      <c r="C203" s="1" t="s">
        <v>689</v>
      </c>
      <c r="D203" s="53" t="s">
        <v>690</v>
      </c>
      <c r="E203" s="53"/>
      <c r="F203" s="1">
        <f>F39*2</f>
        <v>2</v>
      </c>
      <c r="G203" s="1">
        <f>F39*2</f>
        <v>2</v>
      </c>
      <c r="H203" s="54">
        <f>VLOOKUP(C203,lists!I:L,4,FALSE)</f>
        <v>1.25</v>
      </c>
      <c r="I203" s="51">
        <f t="shared" si="295"/>
        <v>1.25</v>
      </c>
      <c r="J203" s="51">
        <f t="shared" si="300"/>
        <v>2.5</v>
      </c>
      <c r="K203" s="51">
        <f t="shared" si="296"/>
        <v>2.5</v>
      </c>
      <c r="L203" s="13">
        <f t="shared" si="297"/>
        <v>2.88</v>
      </c>
      <c r="M203" s="51">
        <f t="shared" si="313"/>
        <v>5.76</v>
      </c>
      <c r="N203" s="321">
        <f t="shared" si="299"/>
        <v>1.3039999999999998</v>
      </c>
      <c r="R203" s="46"/>
      <c r="T203"/>
    </row>
    <row r="204" spans="2:20">
      <c r="B204" t="str">
        <f t="shared" si="312"/>
        <v>6820H-LAB</v>
      </c>
      <c r="C204" s="1" t="s">
        <v>691</v>
      </c>
      <c r="D204" s="53" t="s">
        <v>692</v>
      </c>
      <c r="E204" s="53"/>
      <c r="F204" s="1">
        <f>F31</f>
        <v>8</v>
      </c>
      <c r="G204" s="1">
        <f>F31</f>
        <v>8</v>
      </c>
      <c r="H204" s="54">
        <f>VLOOKUP(C204,lists!I:L,4,FALSE)</f>
        <v>0.11</v>
      </c>
      <c r="I204" s="51">
        <f t="shared" si="295"/>
        <v>0.11</v>
      </c>
      <c r="J204" s="51">
        <f t="shared" si="300"/>
        <v>0.88</v>
      </c>
      <c r="K204" s="51">
        <f t="shared" si="296"/>
        <v>0.88</v>
      </c>
      <c r="L204" s="13">
        <f t="shared" si="297"/>
        <v>0.25</v>
      </c>
      <c r="M204" s="51">
        <f t="shared" si="313"/>
        <v>2</v>
      </c>
      <c r="N204" s="321">
        <f t="shared" si="299"/>
        <v>1.2727272727272729</v>
      </c>
      <c r="R204" s="46"/>
      <c r="T204"/>
    </row>
    <row r="205" spans="2:20">
      <c r="B205" t="str">
        <f t="shared" si="312"/>
        <v>6820H-LAA</v>
      </c>
      <c r="C205" s="1" t="s">
        <v>693</v>
      </c>
      <c r="D205" s="53" t="s">
        <v>694</v>
      </c>
      <c r="E205" s="53"/>
      <c r="F205" s="1">
        <f>F39*2+F31</f>
        <v>10</v>
      </c>
      <c r="G205" s="1">
        <f>F39*2+F31</f>
        <v>10</v>
      </c>
      <c r="H205" s="54">
        <f>VLOOKUP(C205,lists!I:L,4,FALSE)</f>
        <v>7.0000000000000007E-2</v>
      </c>
      <c r="I205" s="51">
        <f t="shared" si="295"/>
        <v>7.0000000000000007E-2</v>
      </c>
      <c r="J205" s="51">
        <f t="shared" si="300"/>
        <v>0.70000000000000007</v>
      </c>
      <c r="K205" s="51">
        <f t="shared" si="296"/>
        <v>0.70000000000000007</v>
      </c>
      <c r="L205" s="13">
        <f t="shared" si="297"/>
        <v>0.16</v>
      </c>
      <c r="M205" s="51">
        <f t="shared" si="313"/>
        <v>1.6</v>
      </c>
      <c r="N205" s="321">
        <f t="shared" si="299"/>
        <v>1.2857142857142856</v>
      </c>
      <c r="R205" s="46"/>
      <c r="T205"/>
    </row>
    <row r="206" spans="2:20">
      <c r="B206" t="str">
        <f t="shared" si="312"/>
        <v>6820H-LU</v>
      </c>
      <c r="C206" s="1" t="s">
        <v>695</v>
      </c>
      <c r="D206" s="53" t="s">
        <v>696</v>
      </c>
      <c r="E206" s="53"/>
      <c r="F206" s="1">
        <f>(F40*3)+F31*2</f>
        <v>22</v>
      </c>
      <c r="G206" s="1">
        <f>(F40*3)+F31*2</f>
        <v>22</v>
      </c>
      <c r="H206" s="54">
        <f>VLOOKUP(C206,lists!I:L,4,FALSE)</f>
        <v>0.09</v>
      </c>
      <c r="I206" s="51">
        <f t="shared" si="295"/>
        <v>0.09</v>
      </c>
      <c r="J206" s="51">
        <f t="shared" si="300"/>
        <v>1.98</v>
      </c>
      <c r="K206" s="51">
        <f t="shared" si="296"/>
        <v>1.98</v>
      </c>
      <c r="L206" s="13">
        <f t="shared" si="297"/>
        <v>0.21</v>
      </c>
      <c r="M206" s="51">
        <f t="shared" si="313"/>
        <v>4.62</v>
      </c>
      <c r="N206" s="321">
        <f t="shared" si="299"/>
        <v>1.3333333333333335</v>
      </c>
      <c r="R206" s="46"/>
      <c r="T206"/>
    </row>
    <row r="207" spans="2:20">
      <c r="B207" t="str">
        <f t="shared" si="312"/>
        <v>6820H-LV</v>
      </c>
      <c r="C207" s="1" t="s">
        <v>697</v>
      </c>
      <c r="D207" s="53" t="s">
        <v>698</v>
      </c>
      <c r="E207" s="53"/>
      <c r="F207" s="1">
        <f>F31+(F40*3)</f>
        <v>14</v>
      </c>
      <c r="G207" s="1">
        <f>F31+(F40*3)</f>
        <v>14</v>
      </c>
      <c r="H207" s="54">
        <f>VLOOKUP(C207,lists!I:L,4,FALSE)</f>
        <v>0.3</v>
      </c>
      <c r="I207" s="51">
        <f t="shared" si="295"/>
        <v>0.3</v>
      </c>
      <c r="J207" s="51">
        <f t="shared" si="300"/>
        <v>4.2</v>
      </c>
      <c r="K207" s="51">
        <f t="shared" si="296"/>
        <v>4.2</v>
      </c>
      <c r="L207" s="13">
        <f t="shared" si="297"/>
        <v>0.69</v>
      </c>
      <c r="M207" s="51">
        <f t="shared" si="313"/>
        <v>9.66</v>
      </c>
      <c r="N207" s="321">
        <f t="shared" si="299"/>
        <v>1.2999999999999998</v>
      </c>
      <c r="R207" s="46"/>
      <c r="T207"/>
    </row>
    <row r="208" spans="2:20">
      <c r="B208" t="str">
        <f t="shared" si="312"/>
        <v>6820H-LW</v>
      </c>
      <c r="C208" s="1" t="s">
        <v>699</v>
      </c>
      <c r="D208" s="53" t="s">
        <v>700</v>
      </c>
      <c r="E208" s="53"/>
      <c r="F208" s="1">
        <f>(F40*2)</f>
        <v>4</v>
      </c>
      <c r="G208" s="1">
        <f>(F40*2)</f>
        <v>4</v>
      </c>
      <c r="H208" s="54">
        <f>VLOOKUP(C208,lists!I:L,4,FALSE)</f>
        <v>0.17</v>
      </c>
      <c r="I208" s="51">
        <f t="shared" si="295"/>
        <v>0.17</v>
      </c>
      <c r="J208" s="51">
        <f t="shared" si="300"/>
        <v>0.68</v>
      </c>
      <c r="K208" s="51">
        <f t="shared" si="296"/>
        <v>0.68</v>
      </c>
      <c r="L208" s="13">
        <f t="shared" si="297"/>
        <v>0.39</v>
      </c>
      <c r="M208" s="51">
        <f t="shared" si="313"/>
        <v>1.56</v>
      </c>
      <c r="N208" s="321">
        <f t="shared" si="299"/>
        <v>1.2941176470588234</v>
      </c>
      <c r="R208" s="46"/>
      <c r="T208"/>
    </row>
    <row r="209" spans="2:20">
      <c r="B209" t="str">
        <f t="shared" si="312"/>
        <v>6820H-LQ</v>
      </c>
      <c r="C209" s="1" t="s">
        <v>701</v>
      </c>
      <c r="D209" s="53" t="s">
        <v>702</v>
      </c>
      <c r="E209" s="53"/>
      <c r="F209" s="1">
        <f>F45</f>
        <v>6</v>
      </c>
      <c r="G209" s="1">
        <f>F45</f>
        <v>6</v>
      </c>
      <c r="H209" s="54">
        <f>VLOOKUP(C209,lists!I:L,4,FALSE)</f>
        <v>1.1599999999999999</v>
      </c>
      <c r="I209" s="51">
        <f t="shared" si="295"/>
        <v>1.1599999999999999</v>
      </c>
      <c r="J209" s="51">
        <f t="shared" si="300"/>
        <v>6.9599999999999991</v>
      </c>
      <c r="K209" s="51">
        <f t="shared" si="296"/>
        <v>6.9599999999999991</v>
      </c>
      <c r="L209" s="13">
        <f t="shared" si="297"/>
        <v>2.67</v>
      </c>
      <c r="M209" s="51">
        <f t="shared" si="313"/>
        <v>16.02</v>
      </c>
      <c r="N209" s="321">
        <f t="shared" si="299"/>
        <v>1.3017241379310347</v>
      </c>
      <c r="R209" s="46"/>
      <c r="T209"/>
    </row>
    <row r="210" spans="2:20">
      <c r="B210" t="str">
        <f t="shared" si="312"/>
        <v/>
      </c>
      <c r="C210" s="1" t="s">
        <v>703</v>
      </c>
      <c r="D210" s="53" t="s">
        <v>704</v>
      </c>
      <c r="E210" s="53"/>
      <c r="F210" s="1">
        <f>F28*2</f>
        <v>0</v>
      </c>
      <c r="G210" s="1">
        <f>F28*2</f>
        <v>0</v>
      </c>
      <c r="H210" s="54">
        <f>VLOOKUP(C210,lists!I:L,4,FALSE)</f>
        <v>1.47</v>
      </c>
      <c r="I210" s="51">
        <f t="shared" si="295"/>
        <v>1.47</v>
      </c>
      <c r="J210" s="51">
        <f t="shared" si="300"/>
        <v>0</v>
      </c>
      <c r="K210" s="51">
        <f t="shared" si="296"/>
        <v>0</v>
      </c>
      <c r="L210" s="13">
        <f t="shared" si="297"/>
        <v>3.38</v>
      </c>
      <c r="M210" s="51">
        <f t="shared" si="313"/>
        <v>0</v>
      </c>
      <c r="N210" s="321" t="str">
        <f t="shared" si="299"/>
        <v/>
      </c>
      <c r="R210" s="46"/>
      <c r="T210"/>
    </row>
    <row r="211" spans="2:20">
      <c r="B211" t="str">
        <f t="shared" si="312"/>
        <v>6820H-LR</v>
      </c>
      <c r="C211" s="1" t="s">
        <v>705</v>
      </c>
      <c r="D211" s="53" t="s">
        <v>706</v>
      </c>
      <c r="E211" s="53"/>
      <c r="F211" s="1">
        <f>F45*2</f>
        <v>12</v>
      </c>
      <c r="G211" s="1">
        <f>F45*2</f>
        <v>12</v>
      </c>
      <c r="H211" s="54">
        <f>VLOOKUP(C211,lists!I:L,4,FALSE)</f>
        <v>0.23</v>
      </c>
      <c r="I211" s="51">
        <f t="shared" si="295"/>
        <v>0.23</v>
      </c>
      <c r="J211" s="51">
        <f>F211*H211</f>
        <v>2.7600000000000002</v>
      </c>
      <c r="K211" s="51">
        <f t="shared" si="296"/>
        <v>2.7600000000000002</v>
      </c>
      <c r="L211" s="13">
        <f t="shared" si="297"/>
        <v>0.53</v>
      </c>
      <c r="M211" s="51">
        <f t="shared" si="313"/>
        <v>6.36</v>
      </c>
      <c r="N211" s="321">
        <f t="shared" si="299"/>
        <v>1.3043478260869565</v>
      </c>
      <c r="R211" s="46"/>
      <c r="T211"/>
    </row>
    <row r="212" spans="2:20">
      <c r="B212" t="str">
        <f t="shared" si="312"/>
        <v>6820H-LM</v>
      </c>
      <c r="C212" s="1" t="s">
        <v>707</v>
      </c>
      <c r="D212" s="53" t="s">
        <v>708</v>
      </c>
      <c r="E212" s="53"/>
      <c r="F212" s="1">
        <f>CEILING((((F22*2)+(F216*2)+(F30))*1.2),1)</f>
        <v>51</v>
      </c>
      <c r="G212" s="1">
        <f>(F22*2)+(F216*2)+(F30)</f>
        <v>42</v>
      </c>
      <c r="H212" s="54">
        <f>VLOOKUP(C212,lists!I:L,4,FALSE)</f>
        <v>0.1</v>
      </c>
      <c r="I212" s="51">
        <f t="shared" si="295"/>
        <v>0.1</v>
      </c>
      <c r="J212" s="51">
        <f t="shared" si="300"/>
        <v>5.1000000000000005</v>
      </c>
      <c r="K212" s="51">
        <f t="shared" si="296"/>
        <v>5.1000000000000005</v>
      </c>
      <c r="L212" s="13">
        <f t="shared" si="297"/>
        <v>0.23</v>
      </c>
      <c r="M212" s="51">
        <f t="shared" si="313"/>
        <v>11.73</v>
      </c>
      <c r="N212" s="321">
        <f t="shared" si="299"/>
        <v>1.2999999999999998</v>
      </c>
      <c r="R212" s="46"/>
      <c r="T212"/>
    </row>
    <row r="213" spans="2:20">
      <c r="B213" t="str">
        <f t="shared" si="312"/>
        <v/>
      </c>
      <c r="C213" s="1" t="s">
        <v>709</v>
      </c>
      <c r="D213" s="53" t="s">
        <v>710</v>
      </c>
      <c r="E213" s="53"/>
      <c r="F213" s="1">
        <v>0</v>
      </c>
      <c r="G213" s="1">
        <v>0</v>
      </c>
      <c r="H213" s="54">
        <f>VLOOKUP(C213,lists!I:L,4,FALSE)</f>
        <v>1.06</v>
      </c>
      <c r="I213" s="51">
        <f t="shared" si="295"/>
        <v>1.06</v>
      </c>
      <c r="J213" s="51">
        <f t="shared" ref="J213:J218" si="314">F213*H213</f>
        <v>0</v>
      </c>
      <c r="K213" s="51">
        <f t="shared" si="296"/>
        <v>0</v>
      </c>
      <c r="L213" s="13">
        <f t="shared" si="297"/>
        <v>2.44</v>
      </c>
      <c r="M213" s="51">
        <f t="shared" si="313"/>
        <v>0</v>
      </c>
      <c r="N213" s="321" t="str">
        <f t="shared" si="299"/>
        <v/>
      </c>
      <c r="R213" s="46"/>
      <c r="T213"/>
    </row>
    <row r="214" spans="2:20">
      <c r="B214" t="str">
        <f t="shared" si="312"/>
        <v>6820H-LS</v>
      </c>
      <c r="C214" s="1" t="s">
        <v>711</v>
      </c>
      <c r="D214" s="53" t="s">
        <v>712</v>
      </c>
      <c r="E214" s="53"/>
      <c r="F214" s="1">
        <f>IF(G214&gt;0,1,0)</f>
        <v>1</v>
      </c>
      <c r="G214" s="1">
        <f>F46</f>
        <v>4</v>
      </c>
      <c r="H214" s="54">
        <f>VLOOKUP(C214,lists!I:L,4,FALSE)</f>
        <v>11</v>
      </c>
      <c r="I214" s="51">
        <f t="shared" si="295"/>
        <v>11</v>
      </c>
      <c r="J214" s="51">
        <f t="shared" si="314"/>
        <v>11</v>
      </c>
      <c r="K214" s="51">
        <f t="shared" si="296"/>
        <v>11</v>
      </c>
      <c r="L214" s="13">
        <f t="shared" si="297"/>
        <v>25.3</v>
      </c>
      <c r="M214" s="51">
        <f t="shared" si="313"/>
        <v>25.3</v>
      </c>
      <c r="N214" s="321">
        <f t="shared" si="299"/>
        <v>1.3000000000000003</v>
      </c>
      <c r="R214" s="46"/>
      <c r="T214"/>
    </row>
    <row r="215" spans="2:20">
      <c r="B215" t="str">
        <f t="shared" si="312"/>
        <v/>
      </c>
      <c r="C215" s="1" t="s">
        <v>713</v>
      </c>
      <c r="D215" s="53" t="s">
        <v>714</v>
      </c>
      <c r="E215" s="53"/>
      <c r="F215" s="1">
        <f>VLOOKUP!$E$51*10</f>
        <v>0</v>
      </c>
      <c r="G215" s="1">
        <f>$F$215</f>
        <v>0</v>
      </c>
      <c r="H215" s="54">
        <f>VLOOKUP(C215,lists!I:L,4,FALSE)</f>
        <v>1.18</v>
      </c>
      <c r="I215" s="51">
        <f t="shared" si="295"/>
        <v>1.18</v>
      </c>
      <c r="J215" s="51">
        <f t="shared" si="314"/>
        <v>0</v>
      </c>
      <c r="K215" s="51">
        <f t="shared" si="296"/>
        <v>0</v>
      </c>
      <c r="L215" s="13">
        <f t="shared" si="297"/>
        <v>2.71</v>
      </c>
      <c r="M215" s="51">
        <f t="shared" si="313"/>
        <v>0</v>
      </c>
      <c r="N215" s="321" t="str">
        <f t="shared" si="299"/>
        <v/>
      </c>
      <c r="R215" s="46"/>
      <c r="T215"/>
    </row>
    <row r="216" spans="2:20">
      <c r="B216" t="str">
        <f t="shared" si="312"/>
        <v/>
      </c>
      <c r="C216" s="1" t="s">
        <v>715</v>
      </c>
      <c r="D216" s="53" t="s">
        <v>716</v>
      </c>
      <c r="E216" s="53"/>
      <c r="F216" s="1">
        <f>VLOOKUP!$E$51*10</f>
        <v>0</v>
      </c>
      <c r="G216" s="1">
        <f>$F$216</f>
        <v>0</v>
      </c>
      <c r="H216" s="54">
        <f>VLOOKUP(C216,lists!I:L,4,FALSE)</f>
        <v>3.42</v>
      </c>
      <c r="I216" s="51">
        <f t="shared" si="295"/>
        <v>3.42</v>
      </c>
      <c r="J216" s="51">
        <f t="shared" si="314"/>
        <v>0</v>
      </c>
      <c r="K216" s="51">
        <f t="shared" ref="K216" si="315">J216*(1+$M$1)</f>
        <v>0</v>
      </c>
      <c r="L216" s="13">
        <f t="shared" si="297"/>
        <v>7.87</v>
      </c>
      <c r="M216" s="51">
        <f t="shared" si="313"/>
        <v>0</v>
      </c>
      <c r="N216" s="321" t="str">
        <f t="shared" si="299"/>
        <v/>
      </c>
      <c r="R216" s="46"/>
      <c r="T216"/>
    </row>
    <row r="217" spans="2:20">
      <c r="B217" t="str">
        <f t="shared" si="312"/>
        <v>6820H-LAH</v>
      </c>
      <c r="C217" s="1" t="s">
        <v>717</v>
      </c>
      <c r="D217" s="53" t="s">
        <v>718</v>
      </c>
      <c r="E217" s="1"/>
      <c r="F217" s="1">
        <f>(F13*10)+(F14*2)+(F15*2)</f>
        <v>24</v>
      </c>
      <c r="G217" s="1">
        <f>(F13*10)+(F14*2)+(F15*2)</f>
        <v>24</v>
      </c>
      <c r="H217" s="54">
        <f>VLOOKUP(C217,lists!I:L,4,FALSE)</f>
        <v>0.84</v>
      </c>
      <c r="I217" s="51">
        <f t="shared" si="295"/>
        <v>0.84</v>
      </c>
      <c r="J217" s="51">
        <f t="shared" si="314"/>
        <v>20.16</v>
      </c>
      <c r="K217" s="51">
        <f t="shared" ref="K217" si="316">J217*(1+$M$1)</f>
        <v>20.16</v>
      </c>
      <c r="L217" s="13">
        <f t="shared" ref="L217" si="317">ROUND(H217*(1+$M$2),2)</f>
        <v>1.93</v>
      </c>
      <c r="M217" s="51">
        <f t="shared" si="313"/>
        <v>46.32</v>
      </c>
      <c r="N217" s="321">
        <f t="shared" si="299"/>
        <v>1.2976190476190474</v>
      </c>
      <c r="R217" s="46"/>
      <c r="T217"/>
    </row>
    <row r="218" spans="2:20">
      <c r="B218" t="str">
        <f t="shared" si="312"/>
        <v/>
      </c>
      <c r="C218" s="1" t="s">
        <v>719</v>
      </c>
      <c r="D218" s="53" t="s">
        <v>720</v>
      </c>
      <c r="E218" s="1"/>
      <c r="F218" s="1">
        <f>F29*3</f>
        <v>0</v>
      </c>
      <c r="G218" s="1">
        <f>F29*3</f>
        <v>0</v>
      </c>
      <c r="H218" s="54">
        <f>VLOOKUP(C218,lists!I:L,4,FALSE)</f>
        <v>1.74</v>
      </c>
      <c r="I218" s="51">
        <f t="shared" si="295"/>
        <v>1.74</v>
      </c>
      <c r="J218" s="51">
        <f t="shared" si="314"/>
        <v>0</v>
      </c>
      <c r="K218" s="51">
        <f t="shared" ref="K218" si="318">J218*(1+$M$1)</f>
        <v>0</v>
      </c>
      <c r="L218" s="13">
        <f t="shared" ref="L218" si="319">ROUND(H218*(1+$M$2),2)</f>
        <v>4</v>
      </c>
      <c r="M218" s="51">
        <f t="shared" ref="M218" si="320">F218*L218</f>
        <v>0</v>
      </c>
      <c r="N218" s="321" t="str">
        <f t="shared" si="299"/>
        <v/>
      </c>
      <c r="R218" s="46"/>
      <c r="T218"/>
    </row>
    <row r="219" spans="2:20">
      <c r="B219" t="str">
        <f t="shared" si="312"/>
        <v/>
      </c>
      <c r="C219" s="1" t="s">
        <v>721</v>
      </c>
      <c r="D219" s="53" t="s">
        <v>722</v>
      </c>
      <c r="E219" s="1"/>
      <c r="F219" s="1">
        <f>VLOOKUP!E47</f>
        <v>0</v>
      </c>
      <c r="G219" s="1">
        <f>F219</f>
        <v>0</v>
      </c>
      <c r="H219" s="54">
        <f>lists!L92</f>
        <v>100.06</v>
      </c>
      <c r="I219" s="51">
        <f>H219*(1+$M$1)</f>
        <v>100.06</v>
      </c>
      <c r="J219" s="51">
        <f>F219*H219</f>
        <v>0</v>
      </c>
      <c r="K219" s="51">
        <f>J219*(1+$M$1)</f>
        <v>0</v>
      </c>
      <c r="L219" s="13">
        <f>lists!N92</f>
        <v>196.11760000000001</v>
      </c>
      <c r="M219" s="51">
        <f>F219*L219</f>
        <v>0</v>
      </c>
      <c r="N219" s="321" t="str">
        <f t="shared" si="299"/>
        <v/>
      </c>
      <c r="R219" s="46"/>
      <c r="T219"/>
    </row>
    <row r="220" spans="2:20">
      <c r="B220" t="str">
        <f t="shared" si="312"/>
        <v/>
      </c>
      <c r="C220" s="1"/>
      <c r="D220" s="53"/>
      <c r="E220" s="1"/>
      <c r="F220" s="1"/>
      <c r="G220" s="54"/>
      <c r="H220" s="54"/>
      <c r="I220" s="118" t="s">
        <v>723</v>
      </c>
      <c r="J220" s="51">
        <f>SUM(J183:J218)</f>
        <v>821.4</v>
      </c>
      <c r="K220" s="311">
        <f>J220*1.065</f>
        <v>874.79099999999994</v>
      </c>
      <c r="L220" s="311" t="s">
        <v>405</v>
      </c>
      <c r="M220" s="311">
        <f>SUM(M183:M218)</f>
        <v>1777.9499999999998</v>
      </c>
      <c r="R220" s="46"/>
      <c r="T220"/>
    </row>
    <row r="221" spans="2:20">
      <c r="C221" s="1"/>
      <c r="D221" s="1"/>
      <c r="E221" s="1"/>
      <c r="F221" s="1"/>
      <c r="G221" s="54"/>
      <c r="H221" s="54"/>
      <c r="I221" s="118"/>
      <c r="J221" s="51"/>
      <c r="K221" s="51"/>
      <c r="L221" s="51"/>
      <c r="M221" s="51"/>
      <c r="R221" s="46"/>
      <c r="T221"/>
    </row>
    <row r="222" spans="2:20">
      <c r="B222" t="str">
        <f>IF(F222&gt;=1,C222,"")</f>
        <v>H-1000</v>
      </c>
      <c r="C222" s="1" t="s">
        <v>724</v>
      </c>
      <c r="D222" s="1" t="s">
        <v>725</v>
      </c>
      <c r="E222" s="1"/>
      <c r="F222" s="1">
        <v>1</v>
      </c>
      <c r="G222" s="1"/>
      <c r="H222" s="1"/>
      <c r="I222" s="7"/>
      <c r="J222" s="7"/>
      <c r="K222" s="7"/>
      <c r="L222" s="51"/>
      <c r="M222" s="13">
        <f>M220</f>
        <v>1777.9499999999998</v>
      </c>
      <c r="R222" s="46"/>
      <c r="T222"/>
    </row>
    <row r="223" spans="2:20">
      <c r="G223" s="7"/>
      <c r="H223" s="7"/>
      <c r="I223" s="7"/>
      <c r="J223" s="7"/>
      <c r="K223" s="7"/>
      <c r="R223" s="46"/>
      <c r="T223"/>
    </row>
    <row r="224" spans="2:20">
      <c r="H224" s="1"/>
      <c r="I224" s="312" t="s">
        <v>726</v>
      </c>
      <c r="J224" s="313"/>
      <c r="K224" s="313"/>
      <c r="L224" s="46"/>
      <c r="M224" s="311">
        <f>M222+M176+M48+M36</f>
        <v>19942.14</v>
      </c>
      <c r="R224" s="46"/>
      <c r="T224"/>
    </row>
    <row r="225" spans="1:27">
      <c r="I225" s="115" t="s">
        <v>727</v>
      </c>
      <c r="J225" s="7"/>
      <c r="M225" s="311">
        <f>K220+K176+K48+K36</f>
        <v>9638.1710000000003</v>
      </c>
      <c r="R225" s="46"/>
      <c r="T225"/>
    </row>
    <row r="226" spans="1:27">
      <c r="R226" s="46"/>
      <c r="T226"/>
    </row>
    <row r="227" spans="1:27">
      <c r="R227" s="46"/>
      <c r="T227"/>
    </row>
    <row r="228" spans="1:27" ht="15" customHeight="1">
      <c r="R228" s="46"/>
      <c r="T228"/>
    </row>
    <row r="229" spans="1:27" ht="15" customHeight="1">
      <c r="A229" s="851" t="s">
        <v>728</v>
      </c>
      <c r="B229" s="851"/>
      <c r="C229" s="851"/>
      <c r="D229" s="851"/>
      <c r="E229" s="851"/>
      <c r="F229" s="851"/>
      <c r="G229" s="445"/>
      <c r="H229" s="445"/>
      <c r="I229" s="445"/>
      <c r="J229" s="445"/>
      <c r="K229" s="445"/>
      <c r="L229" s="213" t="s">
        <v>337</v>
      </c>
      <c r="M229" s="214">
        <v>1</v>
      </c>
      <c r="N229" s="187"/>
      <c r="O229" s="1"/>
      <c r="P229" s="1"/>
      <c r="R229" s="46"/>
      <c r="T229"/>
    </row>
    <row r="230" spans="1:27" ht="15" customHeight="1">
      <c r="A230" s="130" t="s">
        <v>329</v>
      </c>
      <c r="B230" s="130"/>
      <c r="C230" s="329" t="s">
        <v>174</v>
      </c>
      <c r="D230" s="130" t="s">
        <v>175</v>
      </c>
      <c r="E230" s="130" t="s">
        <v>729</v>
      </c>
      <c r="F230" s="130" t="s">
        <v>331</v>
      </c>
      <c r="G230" s="130" t="s">
        <v>332</v>
      </c>
      <c r="H230" s="130" t="s">
        <v>333</v>
      </c>
      <c r="I230" s="130" t="s">
        <v>334</v>
      </c>
      <c r="J230" s="130" t="s">
        <v>335</v>
      </c>
      <c r="K230" s="130" t="s">
        <v>730</v>
      </c>
      <c r="L230" s="130" t="s">
        <v>332</v>
      </c>
      <c r="M230" s="130" t="s">
        <v>335</v>
      </c>
      <c r="N230" s="130" t="s">
        <v>337</v>
      </c>
      <c r="O230" s="1"/>
      <c r="P230" s="1"/>
      <c r="Q230" s="853" t="s">
        <v>731</v>
      </c>
      <c r="R230" s="853"/>
      <c r="S230" s="853"/>
      <c r="T230" s="853"/>
      <c r="U230" s="853"/>
      <c r="V230" s="853"/>
      <c r="W230" s="853"/>
      <c r="X230" s="853"/>
    </row>
    <row r="231" spans="1:27">
      <c r="B231" t="str">
        <f t="shared" ref="B231:B250" si="321">IF(F231&gt;=1,C231,"")</f>
        <v>K-4000</v>
      </c>
      <c r="C231" s="106" t="s">
        <v>732</v>
      </c>
      <c r="D231" s="181" t="s">
        <v>733</v>
      </c>
      <c r="E231" s="55"/>
      <c r="F231" s="438">
        <f>'VLOOKUP - Soar'!B2</f>
        <v>1</v>
      </c>
      <c r="G231" s="13">
        <v>1950</v>
      </c>
      <c r="H231" s="13">
        <f>G231*(1+$M$1)</f>
        <v>1950</v>
      </c>
      <c r="I231" s="102">
        <f t="shared" ref="I231:I237" si="322">F231*O231</f>
        <v>460</v>
      </c>
      <c r="J231" s="13">
        <f t="shared" ref="J231:J247" si="323">F231*G231</f>
        <v>1950</v>
      </c>
      <c r="K231" s="13">
        <f t="shared" ref="K231" si="324">J231*(1+$M$1)</f>
        <v>1950</v>
      </c>
      <c r="L231" s="13">
        <f>ROUND(H231*(1+$M$229),2)</f>
        <v>3900</v>
      </c>
      <c r="M231" s="13">
        <f t="shared" ref="M231:M237" si="325">F231*L231</f>
        <v>3900</v>
      </c>
      <c r="N231" s="321">
        <f t="shared" ref="N231:N247" si="326">IFERROR((M231/K231)-1,"")</f>
        <v>1</v>
      </c>
      <c r="O231" s="1">
        <v>460</v>
      </c>
      <c r="P231" s="1"/>
      <c r="Q231" s="357" t="s">
        <v>734</v>
      </c>
      <c r="R231" s="357" t="s">
        <v>339</v>
      </c>
      <c r="S231" s="357" t="s">
        <v>288</v>
      </c>
      <c r="T231" s="357" t="s">
        <v>341</v>
      </c>
      <c r="U231" s="357" t="s">
        <v>342</v>
      </c>
      <c r="V231" s="357" t="s">
        <v>172</v>
      </c>
      <c r="W231" s="358" t="s">
        <v>343</v>
      </c>
      <c r="X231" s="358" t="s">
        <v>735</v>
      </c>
    </row>
    <row r="232" spans="1:27" s="1" customFormat="1">
      <c r="A232"/>
      <c r="B232" t="str">
        <f t="shared" si="321"/>
        <v/>
      </c>
      <c r="C232" s="106" t="s">
        <v>736</v>
      </c>
      <c r="D232" s="181" t="s">
        <v>737</v>
      </c>
      <c r="E232" s="55"/>
      <c r="F232" s="438">
        <f>IF('VLOOKUP - Soar'!B9="Yes",1,0)</f>
        <v>0</v>
      </c>
      <c r="G232" s="13">
        <v>292</v>
      </c>
      <c r="H232" s="13">
        <f t="shared" ref="H232:H247" si="327">G232*(1+$M$1)</f>
        <v>292</v>
      </c>
      <c r="I232" s="102">
        <f t="shared" si="322"/>
        <v>0</v>
      </c>
      <c r="J232" s="13">
        <f t="shared" si="323"/>
        <v>0</v>
      </c>
      <c r="K232" s="13">
        <f t="shared" ref="K232:K242" si="328">J232*(1+$M$1)</f>
        <v>0</v>
      </c>
      <c r="L232" s="13">
        <f>ROUND(H232*(1.75),2)</f>
        <v>511</v>
      </c>
      <c r="M232" s="13">
        <f t="shared" si="325"/>
        <v>0</v>
      </c>
      <c r="N232" s="321" t="str">
        <f t="shared" si="326"/>
        <v/>
      </c>
      <c r="O232" s="1">
        <v>50</v>
      </c>
      <c r="Q232" s="136" t="s">
        <v>347</v>
      </c>
      <c r="R232" s="137">
        <f>SUM(M231:M238)</f>
        <v>4058.73</v>
      </c>
      <c r="S232" s="137">
        <f>SUM(M244:M247)</f>
        <v>2549.7600000000002</v>
      </c>
      <c r="T232" s="137">
        <f>SUM(M239:M243)</f>
        <v>2240.2199999999998</v>
      </c>
      <c r="U232" s="74" t="s">
        <v>738</v>
      </c>
      <c r="V232" s="137">
        <f>SUM(R232:U232)</f>
        <v>8848.7099999999991</v>
      </c>
      <c r="W232" s="137">
        <f>V232-Q243</f>
        <v>8848.7099999999991</v>
      </c>
      <c r="X232" s="137">
        <f>R246</f>
        <v>9123.2639999999992</v>
      </c>
      <c r="Y232"/>
      <c r="Z232"/>
      <c r="AA232"/>
    </row>
    <row r="233" spans="1:27">
      <c r="B233" t="str">
        <f t="shared" si="321"/>
        <v/>
      </c>
      <c r="C233" s="106" t="s">
        <v>739</v>
      </c>
      <c r="D233" s="181" t="s">
        <v>740</v>
      </c>
      <c r="E233" s="55"/>
      <c r="F233" s="438">
        <f>'VLOOKUP - Soar'!B3</f>
        <v>0</v>
      </c>
      <c r="G233" s="13">
        <v>2242</v>
      </c>
      <c r="H233" s="13">
        <f t="shared" si="327"/>
        <v>2242</v>
      </c>
      <c r="I233" s="102">
        <f t="shared" si="322"/>
        <v>0</v>
      </c>
      <c r="J233" s="13">
        <f t="shared" si="323"/>
        <v>0</v>
      </c>
      <c r="K233" s="13">
        <f t="shared" si="328"/>
        <v>0</v>
      </c>
      <c r="L233" s="13">
        <f>ROUND(L231+L232,2)</f>
        <v>4411</v>
      </c>
      <c r="M233" s="13">
        <f t="shared" si="325"/>
        <v>0</v>
      </c>
      <c r="N233" s="321" t="str">
        <f t="shared" si="326"/>
        <v/>
      </c>
      <c r="O233" s="1">
        <v>510</v>
      </c>
      <c r="P233" s="1"/>
      <c r="Q233" s="295" t="s">
        <v>350</v>
      </c>
      <c r="R233" s="296">
        <f>R232/V232</f>
        <v>0.45868041782361502</v>
      </c>
      <c r="S233" s="296">
        <f>S232/V232</f>
        <v>0.28815047617110295</v>
      </c>
      <c r="T233" s="296">
        <f>T232/V232</f>
        <v>0.25316910600528214</v>
      </c>
      <c r="U233" s="296">
        <v>0</v>
      </c>
      <c r="V233" s="297">
        <f>V232/V232</f>
        <v>1</v>
      </c>
      <c r="W233" s="74"/>
      <c r="X233" s="74"/>
    </row>
    <row r="234" spans="1:27">
      <c r="B234" t="str">
        <f t="shared" si="321"/>
        <v/>
      </c>
      <c r="C234" s="106" t="s">
        <v>741</v>
      </c>
      <c r="D234" s="181" t="s">
        <v>742</v>
      </c>
      <c r="E234" s="55"/>
      <c r="F234" s="438">
        <f>'VLOOKUP - Soar'!B4</f>
        <v>0</v>
      </c>
      <c r="G234" s="13">
        <v>2534</v>
      </c>
      <c r="H234" s="13">
        <f t="shared" si="327"/>
        <v>2534</v>
      </c>
      <c r="I234" s="102">
        <f t="shared" si="322"/>
        <v>0</v>
      </c>
      <c r="J234" s="13">
        <f t="shared" si="323"/>
        <v>0</v>
      </c>
      <c r="K234" s="13">
        <f t="shared" si="328"/>
        <v>0</v>
      </c>
      <c r="L234" s="13">
        <f>ROUND(L232+L233,2)</f>
        <v>4922</v>
      </c>
      <c r="M234" s="13">
        <f t="shared" si="325"/>
        <v>0</v>
      </c>
      <c r="N234" s="321" t="str">
        <f t="shared" si="326"/>
        <v/>
      </c>
      <c r="O234" s="1">
        <v>560</v>
      </c>
      <c r="P234" s="1"/>
      <c r="Q234" s="295"/>
      <c r="R234" s="296"/>
      <c r="S234" s="296"/>
      <c r="T234" s="296"/>
      <c r="U234" s="296"/>
      <c r="V234" s="297"/>
      <c r="W234" s="74"/>
      <c r="X234" s="74"/>
      <c r="Y234" s="1"/>
      <c r="Z234" s="1"/>
    </row>
    <row r="235" spans="1:27" ht="30">
      <c r="B235" t="str">
        <f t="shared" si="321"/>
        <v/>
      </c>
      <c r="C235" s="106" t="s">
        <v>743</v>
      </c>
      <c r="D235" s="181" t="s">
        <v>744</v>
      </c>
      <c r="E235" s="55"/>
      <c r="F235" s="438">
        <f>'VLOOKUP - Soar'!B5</f>
        <v>0</v>
      </c>
      <c r="G235" s="13">
        <v>1950</v>
      </c>
      <c r="H235" s="13">
        <f t="shared" si="327"/>
        <v>1950</v>
      </c>
      <c r="I235" s="102">
        <f t="shared" si="322"/>
        <v>0</v>
      </c>
      <c r="J235" s="13">
        <f t="shared" si="323"/>
        <v>0</v>
      </c>
      <c r="K235" s="13">
        <f t="shared" ref="K235:K238" si="329">J235*(1+$M$1)</f>
        <v>0</v>
      </c>
      <c r="L235" s="13">
        <f>ROUND(L231*1.11,2)</f>
        <v>4329</v>
      </c>
      <c r="M235" s="13">
        <f t="shared" si="325"/>
        <v>0</v>
      </c>
      <c r="N235" s="321" t="str">
        <f t="shared" si="326"/>
        <v/>
      </c>
      <c r="O235" s="1">
        <v>510</v>
      </c>
      <c r="P235" s="1"/>
      <c r="Q235" s="136" t="s">
        <v>352</v>
      </c>
      <c r="R235" s="137">
        <f>SUM(K231:K237)</f>
        <v>1950</v>
      </c>
      <c r="S235" s="137">
        <f>SUM(K244:K247)</f>
        <v>1625</v>
      </c>
      <c r="T235" s="137">
        <f>SUM(K239:K243)</f>
        <v>1493.48</v>
      </c>
      <c r="U235" s="74" t="s">
        <v>738</v>
      </c>
      <c r="V235" s="137">
        <f>SUM(R235:U235)</f>
        <v>5068.4799999999996</v>
      </c>
      <c r="W235" s="137">
        <f>V235</f>
        <v>5068.4799999999996</v>
      </c>
      <c r="X235" s="137">
        <f>W235</f>
        <v>5068.4799999999996</v>
      </c>
    </row>
    <row r="236" spans="1:27" ht="30">
      <c r="B236" t="str">
        <f t="shared" si="321"/>
        <v/>
      </c>
      <c r="C236" s="106" t="s">
        <v>745</v>
      </c>
      <c r="D236" s="181" t="s">
        <v>746</v>
      </c>
      <c r="E236" s="55"/>
      <c r="F236" s="438">
        <f>'VLOOKUP - Soar'!B6</f>
        <v>0</v>
      </c>
      <c r="G236" s="13">
        <f>G233*1.15</f>
        <v>2578.2999999999997</v>
      </c>
      <c r="H236" s="13">
        <f>G236*(1+$M$1)</f>
        <v>2578.2999999999997</v>
      </c>
      <c r="I236" s="102">
        <f t="shared" si="322"/>
        <v>0</v>
      </c>
      <c r="J236" s="13">
        <f t="shared" ref="J236:J237" si="330">F236*G236</f>
        <v>0</v>
      </c>
      <c r="K236" s="13">
        <f t="shared" ref="K236:K237" si="331">J236*(1+$M$1)</f>
        <v>0</v>
      </c>
      <c r="L236" s="13">
        <f>ROUND(L235+L232,2)</f>
        <v>4840</v>
      </c>
      <c r="M236" s="13">
        <f t="shared" si="325"/>
        <v>0</v>
      </c>
      <c r="N236" s="321" t="str">
        <f t="shared" si="326"/>
        <v/>
      </c>
      <c r="O236" s="1">
        <v>560</v>
      </c>
      <c r="P236" s="1"/>
      <c r="Q236" s="298" t="s">
        <v>354</v>
      </c>
      <c r="R236" s="299">
        <f>R235/V235</f>
        <v>0.38473072794999685</v>
      </c>
      <c r="S236" s="299">
        <f>S235/V235</f>
        <v>0.32060893995833073</v>
      </c>
      <c r="T236" s="299">
        <f>T235/V235</f>
        <v>0.29466033209167247</v>
      </c>
      <c r="U236" s="299">
        <v>0</v>
      </c>
      <c r="V236" s="300" t="s">
        <v>734</v>
      </c>
      <c r="W236" s="177" t="s">
        <v>734</v>
      </c>
      <c r="X236" s="177" t="s">
        <v>734</v>
      </c>
      <c r="AA236" s="1"/>
    </row>
    <row r="237" spans="1:27" ht="30">
      <c r="B237" t="str">
        <f t="shared" si="321"/>
        <v/>
      </c>
      <c r="C237" s="106" t="s">
        <v>747</v>
      </c>
      <c r="D237" s="181" t="s">
        <v>748</v>
      </c>
      <c r="E237" s="55"/>
      <c r="F237" s="438">
        <f>'VLOOKUP - Soar'!B7</f>
        <v>0</v>
      </c>
      <c r="G237" s="13">
        <f>G234*1.15</f>
        <v>2914.1</v>
      </c>
      <c r="H237" s="13">
        <f t="shared" ref="H237" si="332">G237*(1+$M$1)</f>
        <v>2914.1</v>
      </c>
      <c r="I237" s="102">
        <f t="shared" si="322"/>
        <v>0</v>
      </c>
      <c r="J237" s="13">
        <f t="shared" si="330"/>
        <v>0</v>
      </c>
      <c r="K237" s="13">
        <f t="shared" si="331"/>
        <v>0</v>
      </c>
      <c r="L237" s="13">
        <f>L236+L232</f>
        <v>5351</v>
      </c>
      <c r="M237" s="13">
        <f t="shared" si="325"/>
        <v>0</v>
      </c>
      <c r="N237" s="321" t="str">
        <f t="shared" si="326"/>
        <v/>
      </c>
      <c r="O237" s="1">
        <v>600</v>
      </c>
      <c r="P237" s="1"/>
      <c r="Q237" s="301" t="s">
        <v>356</v>
      </c>
      <c r="R237" s="567">
        <f>R232-R235</f>
        <v>2108.73</v>
      </c>
      <c r="S237" s="567">
        <f>S232-S235</f>
        <v>924.76000000000022</v>
      </c>
      <c r="T237" s="302"/>
      <c r="U237" s="302" t="s">
        <v>734</v>
      </c>
      <c r="V237" s="303">
        <f>V232-V235</f>
        <v>3780.2299999999996</v>
      </c>
      <c r="W237" s="303">
        <f>W232-W235</f>
        <v>3780.2299999999996</v>
      </c>
      <c r="X237" s="303">
        <f>X232-X235</f>
        <v>4054.7839999999997</v>
      </c>
    </row>
    <row r="238" spans="1:27">
      <c r="B238" t="str">
        <f t="shared" si="321"/>
        <v>6820H-LDD</v>
      </c>
      <c r="C238" s="106" t="s">
        <v>653</v>
      </c>
      <c r="D238" s="475" t="s">
        <v>749</v>
      </c>
      <c r="E238" s="55"/>
      <c r="F238" s="438">
        <f>'VLOOKUP - Soar'!B19</f>
        <v>1</v>
      </c>
      <c r="G238" s="13">
        <v>90.7</v>
      </c>
      <c r="H238" s="13">
        <f t="shared" si="327"/>
        <v>90.7</v>
      </c>
      <c r="I238" s="102">
        <f t="shared" ref="I238" si="333">F238*O238</f>
        <v>0</v>
      </c>
      <c r="J238" s="13">
        <f t="shared" ref="J238" si="334">F238*G238</f>
        <v>90.7</v>
      </c>
      <c r="K238" s="13">
        <f t="shared" si="329"/>
        <v>90.7</v>
      </c>
      <c r="L238" s="13">
        <f>ROUND(H238*(1.75),2)</f>
        <v>158.72999999999999</v>
      </c>
      <c r="M238" s="13">
        <f t="shared" ref="M238:M247" si="335">F238*L238</f>
        <v>158.72999999999999</v>
      </c>
      <c r="N238" s="321">
        <f t="shared" si="326"/>
        <v>0.75005512679162045</v>
      </c>
      <c r="O238" s="1"/>
      <c r="P238" s="1"/>
      <c r="Q238" s="46" t="s">
        <v>750</v>
      </c>
      <c r="R238" s="134">
        <f t="shared" ref="R238:S238" si="336">IFERROR((R232/R235)-1,"")</f>
        <v>1.0813999999999999</v>
      </c>
      <c r="S238" s="134">
        <f t="shared" si="336"/>
        <v>0.56908307692307702</v>
      </c>
      <c r="T238" s="134">
        <f>IFERROR((T232/T235)-1,"")</f>
        <v>0.49999999999999978</v>
      </c>
      <c r="U238" s="134" t="str">
        <f>IFERROR((U232/U235)-1,"")</f>
        <v/>
      </c>
      <c r="V238" s="134">
        <f>(V232/V235)-1</f>
        <v>0.74583109729149566</v>
      </c>
      <c r="W238" s="134">
        <f>(W232/W235)-1</f>
        <v>0.74583109729149566</v>
      </c>
      <c r="X238" s="134">
        <f>(X232/X235)-1</f>
        <v>0.8</v>
      </c>
    </row>
    <row r="239" spans="1:27">
      <c r="B239" t="str">
        <f t="shared" si="321"/>
        <v>382-408</v>
      </c>
      <c r="C239" s="106" t="s">
        <v>751</v>
      </c>
      <c r="D239" s="181" t="s">
        <v>608</v>
      </c>
      <c r="E239" s="55"/>
      <c r="F239" s="438">
        <f>'VLOOKUP - Soar'!B20</f>
        <v>1</v>
      </c>
      <c r="G239" s="13">
        <v>1407</v>
      </c>
      <c r="H239" s="13">
        <f t="shared" si="327"/>
        <v>1407</v>
      </c>
      <c r="I239" s="102">
        <f>F239*O239</f>
        <v>0</v>
      </c>
      <c r="J239" s="13">
        <f t="shared" si="323"/>
        <v>1407</v>
      </c>
      <c r="K239" s="13">
        <f t="shared" si="328"/>
        <v>1407</v>
      </c>
      <c r="L239" s="13">
        <f>H239*1.5</f>
        <v>2110.5</v>
      </c>
      <c r="M239" s="13">
        <f t="shared" si="335"/>
        <v>2110.5</v>
      </c>
      <c r="N239" s="321">
        <f t="shared" si="326"/>
        <v>0.5</v>
      </c>
      <c r="O239" s="1"/>
      <c r="P239" s="1"/>
      <c r="Q239" s="136" t="s">
        <v>359</v>
      </c>
      <c r="R239" s="135">
        <f>IFERROR(1-(R235/R232),"")</f>
        <v>0.5195541462477179</v>
      </c>
      <c r="S239" s="135">
        <f>IFERROR(1-(S235/S232),"")</f>
        <v>0.36268511546184745</v>
      </c>
      <c r="T239" s="135">
        <f>IFERROR(1-(T235/T232),"")</f>
        <v>0.33333333333333326</v>
      </c>
      <c r="U239" s="135" t="str">
        <f>IFERROR(1-(U235/U232),"")</f>
        <v/>
      </c>
      <c r="V239" s="135">
        <f>1-(V235/V232)</f>
        <v>0.42720690360515823</v>
      </c>
      <c r="W239" s="135">
        <f>1-(W235/W232)</f>
        <v>0.42720690360515823</v>
      </c>
      <c r="X239" s="135">
        <f>1-(X235/X232)</f>
        <v>0.44444444444444442</v>
      </c>
    </row>
    <row r="240" spans="1:27">
      <c r="B240" t="str">
        <f t="shared" si="321"/>
        <v/>
      </c>
      <c r="C240" s="106" t="s">
        <v>559</v>
      </c>
      <c r="D240" s="658" t="s">
        <v>560</v>
      </c>
      <c r="E240" s="55"/>
      <c r="F240" s="438">
        <f>'VLOOKUP - Soar'!B22</f>
        <v>0</v>
      </c>
      <c r="G240" s="13">
        <v>400</v>
      </c>
      <c r="H240" s="13">
        <v>400</v>
      </c>
      <c r="I240" s="102">
        <f>F240*O240</f>
        <v>0</v>
      </c>
      <c r="J240" s="13">
        <f t="shared" ref="J240" si="337">F240*G240</f>
        <v>0</v>
      </c>
      <c r="K240" s="13">
        <f t="shared" ref="K240" si="338">J240*(1+$M$1)</f>
        <v>0</v>
      </c>
      <c r="L240" s="13">
        <v>1176.29</v>
      </c>
      <c r="M240" s="13">
        <f t="shared" ref="M240" si="339">F240*L240</f>
        <v>0</v>
      </c>
      <c r="N240" s="321" t="str">
        <f t="shared" ref="N240" si="340">IFERROR((M240/K240)-1,"")</f>
        <v/>
      </c>
      <c r="O240" s="1"/>
      <c r="P240" s="1"/>
      <c r="Q240" s="136"/>
      <c r="R240" s="135"/>
      <c r="S240" s="135"/>
      <c r="T240" s="135"/>
      <c r="U240" s="135"/>
      <c r="V240" s="135"/>
      <c r="W240" s="135"/>
      <c r="X240" s="135"/>
    </row>
    <row r="241" spans="2:24">
      <c r="B241" t="str">
        <f t="shared" si="321"/>
        <v>BSP-041-BLKALUHNGW-SO2</v>
      </c>
      <c r="C241" s="372" t="s">
        <v>752</v>
      </c>
      <c r="D241" s="345" t="s">
        <v>753</v>
      </c>
      <c r="E241" s="55"/>
      <c r="F241" s="438">
        <f>'VLOOKUP - Soar'!B21</f>
        <v>2</v>
      </c>
      <c r="G241" s="219">
        <f>34.99+8.25</f>
        <v>43.24</v>
      </c>
      <c r="H241" s="13">
        <f t="shared" si="327"/>
        <v>43.24</v>
      </c>
      <c r="I241" s="102">
        <f t="shared" ref="I241" si="341">F241*O241</f>
        <v>0</v>
      </c>
      <c r="J241" s="13">
        <f t="shared" si="323"/>
        <v>86.48</v>
      </c>
      <c r="K241" s="13">
        <f t="shared" si="328"/>
        <v>86.48</v>
      </c>
      <c r="L241" s="13">
        <f>H241*1.5</f>
        <v>64.86</v>
      </c>
      <c r="M241" s="219">
        <f t="shared" si="335"/>
        <v>129.72</v>
      </c>
      <c r="N241" s="321">
        <f t="shared" si="326"/>
        <v>0.5</v>
      </c>
      <c r="O241" s="1"/>
      <c r="P241" s="1"/>
      <c r="Q241" s="136"/>
      <c r="R241" s="74"/>
      <c r="S241" s="74"/>
      <c r="T241" s="74"/>
      <c r="U241" s="74"/>
      <c r="V241" s="74"/>
      <c r="W241" s="74"/>
      <c r="X241" s="74"/>
    </row>
    <row r="242" spans="2:24">
      <c r="B242" t="str">
        <f t="shared" si="321"/>
        <v/>
      </c>
      <c r="C242" s="182">
        <v>120050</v>
      </c>
      <c r="D242" s="181" t="s">
        <v>754</v>
      </c>
      <c r="E242" s="55"/>
      <c r="F242" s="438">
        <f>'VLOOKUP - Soar'!B23</f>
        <v>0</v>
      </c>
      <c r="G242" s="13">
        <v>372</v>
      </c>
      <c r="H242" s="13">
        <f t="shared" ref="H242" si="342">G242*(1+$M$1)</f>
        <v>372</v>
      </c>
      <c r="I242" s="102">
        <f t="shared" ref="I242" si="343">F242*O242</f>
        <v>0</v>
      </c>
      <c r="J242" s="13">
        <f t="shared" ref="J242" si="344">F242*G242</f>
        <v>0</v>
      </c>
      <c r="K242" s="13">
        <f t="shared" si="328"/>
        <v>0</v>
      </c>
      <c r="L242" s="13">
        <f>G242*1.5</f>
        <v>558</v>
      </c>
      <c r="M242" s="13">
        <f t="shared" ref="M242" si="345">F242*L242</f>
        <v>0</v>
      </c>
      <c r="N242" s="321" t="str">
        <f t="shared" ref="N242" si="346">IFERROR((M242/K242)-1,"")</f>
        <v/>
      </c>
      <c r="O242" s="1"/>
      <c r="P242" s="1"/>
      <c r="Q242" s="294" t="s">
        <v>371</v>
      </c>
      <c r="R242" s="132" t="s">
        <v>372</v>
      </c>
      <c r="S242" s="136"/>
      <c r="T242" s="136"/>
      <c r="U242" s="74"/>
      <c r="V242" s="294" t="s">
        <v>378</v>
      </c>
      <c r="W242" s="74"/>
      <c r="X242" s="74"/>
    </row>
    <row r="243" spans="2:24">
      <c r="B243" t="str">
        <f t="shared" si="321"/>
        <v/>
      </c>
      <c r="C243" s="106" t="s">
        <v>755</v>
      </c>
      <c r="D243" s="181" t="s">
        <v>756</v>
      </c>
      <c r="E243" s="356"/>
      <c r="F243" s="438">
        <f>'VLOOKUP - Soar'!B12</f>
        <v>0</v>
      </c>
      <c r="G243" s="13">
        <v>960</v>
      </c>
      <c r="H243" s="13">
        <f t="shared" ref="H243" si="347">G243*(1+$M$1)</f>
        <v>960</v>
      </c>
      <c r="I243" s="102">
        <f t="shared" ref="I243" si="348">F243*O243</f>
        <v>0</v>
      </c>
      <c r="J243" s="13">
        <f t="shared" ref="J243" si="349">F243*G243</f>
        <v>0</v>
      </c>
      <c r="K243" s="13">
        <f t="shared" ref="K243" si="350">J243*(1+$M$1)</f>
        <v>0</v>
      </c>
      <c r="L243" s="13">
        <f>ROUND(G243*1.5,2)</f>
        <v>1440</v>
      </c>
      <c r="M243" s="13">
        <f t="shared" ref="M243" si="351">F243*L243</f>
        <v>0</v>
      </c>
      <c r="N243" s="321"/>
      <c r="O243" s="1"/>
      <c r="P243" s="1"/>
      <c r="Q243" s="304">
        <v>0</v>
      </c>
      <c r="R243" s="134">
        <f>Q243/V232</f>
        <v>0</v>
      </c>
      <c r="S243" s="134"/>
      <c r="T243" s="134"/>
      <c r="U243" s="74"/>
      <c r="V243" s="305">
        <f ca="1">TODAY()+6</f>
        <v>46231</v>
      </c>
      <c r="W243" s="74"/>
      <c r="X243" s="74"/>
    </row>
    <row r="244" spans="2:24">
      <c r="B244" t="str">
        <f t="shared" si="321"/>
        <v>SSM80100</v>
      </c>
      <c r="C244" s="106" t="s">
        <v>757</v>
      </c>
      <c r="D244" s="181" t="s">
        <v>758</v>
      </c>
      <c r="E244" s="356"/>
      <c r="F244" s="438">
        <f>'VLOOKUP - Soar'!B13</f>
        <v>1</v>
      </c>
      <c r="G244" s="13">
        <v>695</v>
      </c>
      <c r="H244" s="13">
        <f t="shared" si="327"/>
        <v>695</v>
      </c>
      <c r="I244" s="102">
        <f>F244*O245</f>
        <v>0</v>
      </c>
      <c r="J244" s="13">
        <f t="shared" si="323"/>
        <v>695</v>
      </c>
      <c r="K244" s="13">
        <f t="shared" ref="K244" si="352">J244*(1+$M$1)</f>
        <v>695</v>
      </c>
      <c r="L244" s="13">
        <f>ROUND(G244*1.5,2)</f>
        <v>1042.5</v>
      </c>
      <c r="M244" s="13">
        <f t="shared" si="335"/>
        <v>1042.5</v>
      </c>
      <c r="N244" s="321">
        <f t="shared" si="326"/>
        <v>0.5</v>
      </c>
      <c r="O244" s="1"/>
      <c r="P244" s="1"/>
      <c r="Q244" s="136"/>
      <c r="R244" s="74"/>
      <c r="S244" s="74"/>
      <c r="T244" s="74"/>
      <c r="U244" s="74"/>
      <c r="V244" s="74"/>
      <c r="W244" s="137"/>
      <c r="X244" s="74"/>
    </row>
    <row r="245" spans="2:24">
      <c r="B245" t="str">
        <f t="shared" si="321"/>
        <v>COLU2812</v>
      </c>
      <c r="C245" s="106" t="s">
        <v>759</v>
      </c>
      <c r="D245" s="181" t="s">
        <v>760</v>
      </c>
      <c r="E245" s="356"/>
      <c r="F245" s="438">
        <f>'VLOOKUP - Soar'!B14</f>
        <v>4</v>
      </c>
      <c r="G245" s="13">
        <v>105</v>
      </c>
      <c r="H245" s="13">
        <f t="shared" si="327"/>
        <v>105</v>
      </c>
      <c r="I245" s="102">
        <f>F245*O246</f>
        <v>0</v>
      </c>
      <c r="J245" s="13">
        <f t="shared" si="323"/>
        <v>420</v>
      </c>
      <c r="K245" s="13">
        <f t="shared" ref="K245" si="353">J245*(1+$M$1)</f>
        <v>420</v>
      </c>
      <c r="L245" s="13">
        <f>ROUND(H245*(1.7),2)</f>
        <v>178.5</v>
      </c>
      <c r="M245" s="13">
        <f t="shared" si="335"/>
        <v>714</v>
      </c>
      <c r="N245" s="321">
        <f t="shared" si="326"/>
        <v>0.7</v>
      </c>
      <c r="O245" s="1"/>
      <c r="P245" s="1"/>
      <c r="Q245" s="132" t="s">
        <v>761</v>
      </c>
      <c r="R245" s="358" t="s">
        <v>762</v>
      </c>
      <c r="S245" s="294" t="s">
        <v>763</v>
      </c>
      <c r="T245" s="136"/>
      <c r="U245" s="74"/>
      <c r="V245" s="74"/>
      <c r="W245" s="74"/>
      <c r="X245" s="74"/>
    </row>
    <row r="246" spans="2:24">
      <c r="B246" t="str">
        <f t="shared" si="321"/>
        <v>SFGPC</v>
      </c>
      <c r="C246" s="106" t="s">
        <v>764</v>
      </c>
      <c r="D246" s="181" t="s">
        <v>765</v>
      </c>
      <c r="E246" s="356"/>
      <c r="F246" s="438">
        <f>'VLOOKUP - Soar'!B15</f>
        <v>2</v>
      </c>
      <c r="G246" s="13">
        <v>130</v>
      </c>
      <c r="H246" s="13">
        <f t="shared" ref="H246" si="354">G246*(1+$M$1)</f>
        <v>130</v>
      </c>
      <c r="I246" s="102">
        <f>F246*O247</f>
        <v>0</v>
      </c>
      <c r="J246" s="13">
        <f t="shared" ref="J246" si="355">F246*G246</f>
        <v>260</v>
      </c>
      <c r="K246" s="13">
        <f t="shared" ref="K246" si="356">J246*(1+$M$1)</f>
        <v>260</v>
      </c>
      <c r="L246" s="13">
        <f>ROUND(H246*(1.35),2)</f>
        <v>175.5</v>
      </c>
      <c r="M246" s="13">
        <f t="shared" ref="M246" si="357">F246*L246</f>
        <v>351</v>
      </c>
      <c r="N246" s="321">
        <f t="shared" ref="N246" si="358">IFERROR((M246/K246)-1,"")</f>
        <v>0.35000000000000009</v>
      </c>
      <c r="O246" s="1"/>
      <c r="P246" s="1"/>
      <c r="Q246" s="136" t="s">
        <v>766</v>
      </c>
      <c r="R246" s="568">
        <f>V235*(1+0.8)</f>
        <v>9123.2639999999992</v>
      </c>
      <c r="S246" s="568">
        <f>V232-R246</f>
        <v>-274.55400000000009</v>
      </c>
      <c r="T246" s="136"/>
      <c r="U246" s="74"/>
      <c r="V246" s="74"/>
      <c r="W246" s="74"/>
      <c r="X246" s="74"/>
    </row>
    <row r="247" spans="2:24">
      <c r="B247" t="str">
        <f t="shared" si="321"/>
        <v>COLW2812</v>
      </c>
      <c r="C247" s="106" t="s">
        <v>767</v>
      </c>
      <c r="D247" s="106" t="s">
        <v>768</v>
      </c>
      <c r="E247" s="1"/>
      <c r="F247" s="438">
        <f>'VLOOKUP - Soar'!B16</f>
        <v>2</v>
      </c>
      <c r="G247" s="194">
        <v>125</v>
      </c>
      <c r="H247" s="194">
        <f t="shared" si="327"/>
        <v>125</v>
      </c>
      <c r="I247" s="195">
        <f>F247*O247</f>
        <v>0</v>
      </c>
      <c r="J247" s="194">
        <f t="shared" si="323"/>
        <v>250</v>
      </c>
      <c r="K247" s="194">
        <f t="shared" ref="K247" si="359">J247*(1+$M$1)</f>
        <v>250</v>
      </c>
      <c r="L247" s="194">
        <f>L68</f>
        <v>221.13</v>
      </c>
      <c r="M247" s="194">
        <f t="shared" si="335"/>
        <v>442.26</v>
      </c>
      <c r="N247" s="321">
        <f t="shared" si="326"/>
        <v>0.76903999999999995</v>
      </c>
      <c r="O247" s="1"/>
      <c r="P247" s="1"/>
      <c r="Q247" s="568"/>
      <c r="R247" s="134"/>
      <c r="S247" s="74"/>
      <c r="T247" s="74"/>
      <c r="U247" s="74"/>
      <c r="V247" s="74"/>
    </row>
    <row r="248" spans="2:24" ht="15.75">
      <c r="B248" t="str">
        <f t="shared" si="321"/>
        <v/>
      </c>
      <c r="G248" s="13"/>
      <c r="H248" s="192" t="s">
        <v>642</v>
      </c>
      <c r="I248" s="193">
        <f>SUM(I231:I247)</f>
        <v>460</v>
      </c>
      <c r="J248" s="13"/>
      <c r="K248" s="13"/>
      <c r="L248" s="13"/>
      <c r="M248" s="13"/>
      <c r="O248" s="1"/>
      <c r="P248" s="1"/>
      <c r="Q248" s="140"/>
      <c r="R248" s="134"/>
      <c r="S248" s="74"/>
      <c r="T248" s="74"/>
      <c r="U248" s="74"/>
      <c r="V248" s="74"/>
    </row>
    <row r="249" spans="2:24" ht="15.75">
      <c r="B249" t="str">
        <f t="shared" si="321"/>
        <v/>
      </c>
      <c r="G249" s="13"/>
      <c r="H249" s="192" t="s">
        <v>643</v>
      </c>
      <c r="I249" s="13"/>
      <c r="J249" s="13"/>
      <c r="K249" s="196">
        <f>SUM(K231:K247)</f>
        <v>5159.18</v>
      </c>
      <c r="L249" s="13"/>
      <c r="M249" s="13"/>
      <c r="O249" s="1"/>
      <c r="P249" s="1"/>
      <c r="Q249" s="140"/>
      <c r="R249" s="134"/>
      <c r="S249" s="74"/>
      <c r="T249" s="74"/>
      <c r="U249" s="74"/>
      <c r="V249" s="74"/>
    </row>
    <row r="250" spans="2:24" ht="15.75">
      <c r="B250" t="str">
        <f t="shared" si="321"/>
        <v/>
      </c>
      <c r="G250" s="13"/>
      <c r="H250" s="192" t="s">
        <v>644</v>
      </c>
      <c r="I250" s="14"/>
      <c r="J250" s="13"/>
      <c r="K250" s="13"/>
      <c r="L250" s="13"/>
      <c r="M250" s="196">
        <f>SUM(M231:M247)</f>
        <v>8848.7100000000009</v>
      </c>
      <c r="O250" s="1"/>
      <c r="P250" s="1"/>
      <c r="Q250" s="140"/>
      <c r="R250" s="134"/>
      <c r="S250" s="74"/>
      <c r="T250" s="74"/>
      <c r="U250" s="74"/>
      <c r="V250" s="74"/>
    </row>
    <row r="251" spans="2:24">
      <c r="O251" s="1"/>
      <c r="P251" s="1"/>
    </row>
    <row r="252" spans="2:24">
      <c r="O252" s="1"/>
      <c r="P252" s="1"/>
    </row>
    <row r="253" spans="2:24">
      <c r="O253" s="1"/>
      <c r="P253" s="1"/>
      <c r="Q253" s="140"/>
      <c r="R253" s="134"/>
      <c r="S253" s="134"/>
      <c r="T253" s="134"/>
      <c r="U253" s="74"/>
      <c r="V253" s="74"/>
      <c r="W253" s="74"/>
      <c r="X253" s="74"/>
    </row>
    <row r="254" spans="2:24">
      <c r="O254" s="1"/>
      <c r="P254" s="1"/>
      <c r="Q254" s="140"/>
      <c r="R254" s="134"/>
      <c r="S254" s="134"/>
      <c r="T254" s="134"/>
      <c r="U254" s="74"/>
      <c r="V254" s="74"/>
      <c r="W254" s="74"/>
      <c r="X254" s="74"/>
    </row>
    <row r="255" spans="2:24">
      <c r="O255" s="1"/>
      <c r="P255" s="1"/>
      <c r="Q255" s="140"/>
      <c r="R255" s="134"/>
      <c r="S255" s="134"/>
      <c r="T255" s="134"/>
      <c r="U255" s="74"/>
      <c r="V255" s="74"/>
      <c r="W255" s="74"/>
      <c r="X255" s="74"/>
    </row>
    <row r="256" spans="2:24">
      <c r="O256" s="1"/>
      <c r="P256" s="1"/>
      <c r="Q256" s="140"/>
      <c r="R256" s="134"/>
      <c r="S256" s="134"/>
      <c r="T256" s="134"/>
      <c r="U256" s="74"/>
      <c r="V256" s="74"/>
      <c r="W256" s="74"/>
      <c r="X256" s="74"/>
    </row>
    <row r="257" spans="1:24">
      <c r="O257" s="1"/>
      <c r="P257" s="1"/>
      <c r="Q257" s="140"/>
      <c r="R257" s="134"/>
      <c r="S257" s="134"/>
      <c r="T257" s="134"/>
      <c r="U257" s="74"/>
      <c r="V257" s="74"/>
      <c r="W257" s="74"/>
      <c r="X257" s="74"/>
    </row>
    <row r="258" spans="1:24" ht="15" customHeight="1">
      <c r="A258" s="851" t="s">
        <v>769</v>
      </c>
      <c r="B258" s="851"/>
      <c r="C258" s="851"/>
      <c r="D258" s="851"/>
      <c r="E258" s="851"/>
      <c r="F258" s="851"/>
      <c r="G258" s="448"/>
      <c r="H258" s="448"/>
      <c r="I258" s="448"/>
      <c r="J258" s="448"/>
      <c r="K258" s="448"/>
      <c r="L258" s="213" t="s">
        <v>337</v>
      </c>
      <c r="M258" s="447">
        <v>0.92</v>
      </c>
      <c r="O258" s="1"/>
      <c r="P258" s="271"/>
      <c r="Q258" s="852" t="s">
        <v>731</v>
      </c>
      <c r="R258" s="852"/>
      <c r="S258" s="852"/>
      <c r="T258" s="852"/>
      <c r="U258" s="852"/>
      <c r="V258" s="852"/>
      <c r="W258" s="852"/>
      <c r="X258" s="852"/>
    </row>
    <row r="259" spans="1:24" ht="18.399999999999999" customHeight="1">
      <c r="A259" s="130" t="s">
        <v>329</v>
      </c>
      <c r="B259" s="130"/>
      <c r="C259" s="130" t="s">
        <v>174</v>
      </c>
      <c r="D259" s="130" t="s">
        <v>175</v>
      </c>
      <c r="E259" s="130" t="s">
        <v>729</v>
      </c>
      <c r="F259" s="122" t="s">
        <v>331</v>
      </c>
      <c r="G259" s="122" t="s">
        <v>332</v>
      </c>
      <c r="H259" s="122" t="s">
        <v>770</v>
      </c>
      <c r="I259" s="122" t="s">
        <v>771</v>
      </c>
      <c r="J259" s="122" t="s">
        <v>772</v>
      </c>
      <c r="K259" s="188"/>
      <c r="L259" s="130" t="s">
        <v>332</v>
      </c>
      <c r="M259" s="130" t="s">
        <v>335</v>
      </c>
      <c r="N259" s="130" t="s">
        <v>337</v>
      </c>
      <c r="O259" s="327" t="s">
        <v>338</v>
      </c>
      <c r="P259" s="1"/>
      <c r="Q259" s="294" t="s">
        <v>734</v>
      </c>
      <c r="R259" s="357" t="s">
        <v>339</v>
      </c>
      <c r="S259" s="357" t="s">
        <v>288</v>
      </c>
      <c r="T259" s="357" t="s">
        <v>341</v>
      </c>
      <c r="U259" s="357" t="s">
        <v>342</v>
      </c>
      <c r="V259" s="357" t="s">
        <v>172</v>
      </c>
      <c r="W259" s="358" t="s">
        <v>343</v>
      </c>
      <c r="X259" s="358" t="s">
        <v>344</v>
      </c>
    </row>
    <row r="260" spans="1:24">
      <c r="B260" t="str">
        <f>IF(F260&gt;=1,C260,"")</f>
        <v>A-2200</v>
      </c>
      <c r="C260" s="292" t="s">
        <v>773</v>
      </c>
      <c r="D260" s="181" t="s">
        <v>774</v>
      </c>
      <c r="E260" s="55"/>
      <c r="F260" s="290">
        <v>1</v>
      </c>
      <c r="G260" s="13">
        <v>2820</v>
      </c>
      <c r="H260" s="13">
        <f t="shared" ref="H260" si="360">G260*(1+$M$1)</f>
        <v>2820</v>
      </c>
      <c r="I260" s="102">
        <f>F260*O260</f>
        <v>400</v>
      </c>
      <c r="J260" s="13">
        <f>F260*G260</f>
        <v>2820</v>
      </c>
      <c r="K260" s="13">
        <f>J260*(1+$M$1)</f>
        <v>2820</v>
      </c>
      <c r="L260" s="13">
        <f>ROUND(H260*(1+$M$258),2)</f>
        <v>5414.4</v>
      </c>
      <c r="M260" s="13">
        <f>F260*L260</f>
        <v>5414.4</v>
      </c>
      <c r="N260" s="218">
        <f t="shared" ref="N260:N268" si="361">IFERROR((M260/K260)-1,"")</f>
        <v>0.91999999999999993</v>
      </c>
      <c r="O260" s="1">
        <v>400</v>
      </c>
      <c r="P260" s="119"/>
      <c r="Q260" s="136" t="s">
        <v>347</v>
      </c>
      <c r="R260" s="137">
        <f>SUM(M260:M267)</f>
        <v>6829.44</v>
      </c>
      <c r="S260" s="137">
        <f>SUM(M269:M273)</f>
        <v>574.09</v>
      </c>
      <c r="T260" s="137">
        <f>SUM(M274:M295)</f>
        <v>4667.7349999999997</v>
      </c>
      <c r="U260" s="74" t="s">
        <v>738</v>
      </c>
      <c r="V260" s="137">
        <f>SUM(R260:U260)</f>
        <v>12071.264999999999</v>
      </c>
      <c r="W260" s="137">
        <f>V260-Q269</f>
        <v>12071.264999999999</v>
      </c>
      <c r="X260" s="137">
        <f>W263*(1+M258)</f>
        <v>12358.828799999999</v>
      </c>
    </row>
    <row r="261" spans="1:24">
      <c r="B261" t="str">
        <f>IF(F261&gt;=1,C261,"")</f>
        <v>UEU-ISTRS</v>
      </c>
      <c r="C261" s="292" t="s">
        <v>775</v>
      </c>
      <c r="D261" s="181" t="s">
        <v>776</v>
      </c>
      <c r="E261" s="55"/>
      <c r="F261" s="290">
        <v>1</v>
      </c>
      <c r="G261" s="13">
        <v>737</v>
      </c>
      <c r="H261" s="13"/>
      <c r="I261" s="102">
        <f>F261*O261</f>
        <v>35</v>
      </c>
      <c r="J261" s="13">
        <f>F261*G261</f>
        <v>737</v>
      </c>
      <c r="K261" s="13">
        <f>F261*G261</f>
        <v>737</v>
      </c>
      <c r="L261" s="13">
        <f>K261*(1+M258)</f>
        <v>1415.04</v>
      </c>
      <c r="M261" s="13">
        <f>L261</f>
        <v>1415.04</v>
      </c>
      <c r="N261" s="218">
        <f t="shared" si="361"/>
        <v>0.91999999999999993</v>
      </c>
      <c r="O261" s="119">
        <v>35</v>
      </c>
      <c r="P261" s="119"/>
      <c r="Q261" s="295" t="s">
        <v>350</v>
      </c>
      <c r="R261" s="296">
        <f>R260/V260</f>
        <v>0.56576009225213764</v>
      </c>
      <c r="S261" s="296">
        <f>S260/V260</f>
        <v>4.7558395909625052E-2</v>
      </c>
      <c r="T261" s="296">
        <f>T260/V260</f>
        <v>0.38668151183823735</v>
      </c>
      <c r="U261" s="296">
        <v>0</v>
      </c>
      <c r="V261" s="464">
        <f>V260/V260</f>
        <v>1</v>
      </c>
      <c r="W261" s="137"/>
      <c r="X261" s="137"/>
    </row>
    <row r="262" spans="1:24">
      <c r="B262" t="str">
        <f>IF(F262&gt;=1,C262,"")</f>
        <v/>
      </c>
      <c r="C262" s="292" t="s">
        <v>777</v>
      </c>
      <c r="D262" s="181" t="s">
        <v>778</v>
      </c>
      <c r="E262" s="55"/>
      <c r="F262" s="290"/>
      <c r="G262" s="13">
        <v>792</v>
      </c>
      <c r="H262" s="13">
        <f t="shared" ref="H262:H267" si="362">G262</f>
        <v>792</v>
      </c>
      <c r="I262" s="102">
        <f>F262*O262</f>
        <v>0</v>
      </c>
      <c r="J262" s="13">
        <f>F262*G262</f>
        <v>0</v>
      </c>
      <c r="K262" s="13">
        <f>F262*G262</f>
        <v>0</v>
      </c>
      <c r="L262" s="13">
        <f>K262*(2.05)</f>
        <v>0</v>
      </c>
      <c r="M262" s="13">
        <f>L262</f>
        <v>0</v>
      </c>
      <c r="N262" s="218" t="str">
        <f t="shared" si="361"/>
        <v/>
      </c>
      <c r="O262" s="119">
        <v>35</v>
      </c>
      <c r="P262" s="119"/>
      <c r="Q262" s="295"/>
      <c r="R262" s="296"/>
      <c r="S262" s="296"/>
      <c r="T262" s="296"/>
      <c r="U262" s="296"/>
      <c r="V262" s="297"/>
      <c r="W262" s="74"/>
      <c r="X262" s="74"/>
    </row>
    <row r="263" spans="1:24">
      <c r="C263" s="292" t="s">
        <v>265</v>
      </c>
      <c r="D263" s="106" t="s">
        <v>409</v>
      </c>
      <c r="E263" s="55">
        <v>1</v>
      </c>
      <c r="F263" s="74">
        <f>IF($F$261=1,E263,0)</f>
        <v>1</v>
      </c>
      <c r="G263" s="13">
        <v>148</v>
      </c>
      <c r="H263" s="13">
        <f t="shared" si="362"/>
        <v>148</v>
      </c>
      <c r="I263" s="102">
        <f>F263*O263</f>
        <v>18.32</v>
      </c>
      <c r="J263" s="13">
        <v>0</v>
      </c>
      <c r="K263" s="13">
        <v>0</v>
      </c>
      <c r="L263" s="13">
        <v>0</v>
      </c>
      <c r="M263" s="13">
        <v>0</v>
      </c>
      <c r="N263" s="218" t="str">
        <f t="shared" si="361"/>
        <v/>
      </c>
      <c r="O263" s="119">
        <v>18.32</v>
      </c>
      <c r="P263" s="119"/>
      <c r="Q263" s="136" t="s">
        <v>352</v>
      </c>
      <c r="R263" s="137">
        <f>SUM(J260:J267)</f>
        <v>3557</v>
      </c>
      <c r="S263" s="137">
        <f>SUM(K269:K273)</f>
        <v>284</v>
      </c>
      <c r="T263" s="137">
        <f>SUM(J274:J295)</f>
        <v>2595.8900000000003</v>
      </c>
      <c r="U263" s="74" t="s">
        <v>738</v>
      </c>
      <c r="V263" s="137">
        <f>SUM(R263:U263)</f>
        <v>6436.89</v>
      </c>
      <c r="W263" s="137">
        <f>V263</f>
        <v>6436.89</v>
      </c>
      <c r="X263" s="137">
        <f>W263</f>
        <v>6436.89</v>
      </c>
    </row>
    <row r="264" spans="1:24">
      <c r="C264" s="292" t="s">
        <v>779</v>
      </c>
      <c r="D264" s="106" t="s">
        <v>780</v>
      </c>
      <c r="E264" s="55">
        <v>1</v>
      </c>
      <c r="F264" s="74">
        <f>IF($F$261=1,E264,0)</f>
        <v>1</v>
      </c>
      <c r="G264" s="13">
        <v>20</v>
      </c>
      <c r="H264" s="13">
        <f t="shared" si="362"/>
        <v>20</v>
      </c>
      <c r="I264" s="102">
        <f>F264*O264</f>
        <v>5</v>
      </c>
      <c r="J264" s="13">
        <v>0</v>
      </c>
      <c r="K264" s="13">
        <v>0</v>
      </c>
      <c r="L264" s="13">
        <v>0</v>
      </c>
      <c r="M264" s="13">
        <v>0</v>
      </c>
      <c r="N264" s="218" t="str">
        <f t="shared" si="361"/>
        <v/>
      </c>
      <c r="O264" s="119">
        <v>5</v>
      </c>
      <c r="P264" s="119"/>
      <c r="Q264" s="298" t="s">
        <v>354</v>
      </c>
      <c r="R264" s="299">
        <f>R263/V263</f>
        <v>0.55259605182005589</v>
      </c>
      <c r="S264" s="299">
        <f>S263/V263</f>
        <v>4.4120685610597662E-2</v>
      </c>
      <c r="T264" s="299">
        <f>T263/V263</f>
        <v>0.40328326256934643</v>
      </c>
      <c r="U264" s="299">
        <v>0</v>
      </c>
      <c r="V264" s="300" t="s">
        <v>734</v>
      </c>
      <c r="W264" s="177" t="s">
        <v>734</v>
      </c>
      <c r="X264" s="177" t="s">
        <v>734</v>
      </c>
    </row>
    <row r="265" spans="1:24">
      <c r="C265" s="292" t="s">
        <v>269</v>
      </c>
      <c r="D265" s="106" t="s">
        <v>270</v>
      </c>
      <c r="E265" s="55">
        <v>3</v>
      </c>
      <c r="F265" s="74">
        <f t="shared" ref="F265:F267" si="363">IF($F$261=1,E265,0)</f>
        <v>3</v>
      </c>
      <c r="G265" s="13">
        <v>113</v>
      </c>
      <c r="H265" s="13">
        <f t="shared" si="362"/>
        <v>113</v>
      </c>
      <c r="I265" s="102">
        <f>F265*O264</f>
        <v>15</v>
      </c>
      <c r="J265" s="13">
        <v>0</v>
      </c>
      <c r="K265" s="13">
        <v>0</v>
      </c>
      <c r="L265" s="13">
        <v>0</v>
      </c>
      <c r="M265" s="13">
        <v>0</v>
      </c>
      <c r="N265" s="218" t="str">
        <f t="shared" si="361"/>
        <v/>
      </c>
      <c r="O265" s="119">
        <v>2.06</v>
      </c>
      <c r="P265" s="119"/>
      <c r="Q265" s="301" t="s">
        <v>356</v>
      </c>
      <c r="R265" s="303">
        <f>R260-R263</f>
        <v>3272.4399999999996</v>
      </c>
      <c r="S265" s="303"/>
      <c r="T265" s="303"/>
      <c r="U265" s="302" t="s">
        <v>734</v>
      </c>
      <c r="V265" s="303">
        <f>V260-V263</f>
        <v>5634.3749999999991</v>
      </c>
      <c r="W265" s="303">
        <f>W260-W263</f>
        <v>5634.3749999999991</v>
      </c>
      <c r="X265" s="303">
        <f>X260-X263</f>
        <v>5921.938799999999</v>
      </c>
    </row>
    <row r="266" spans="1:24">
      <c r="C266" s="292" t="s">
        <v>272</v>
      </c>
      <c r="D266" s="106" t="s">
        <v>410</v>
      </c>
      <c r="E266" s="55">
        <v>2</v>
      </c>
      <c r="F266" s="74">
        <f t="shared" si="363"/>
        <v>2</v>
      </c>
      <c r="G266" s="13">
        <v>57</v>
      </c>
      <c r="H266" s="13">
        <f t="shared" si="362"/>
        <v>57</v>
      </c>
      <c r="I266" s="102">
        <f>F266*O265</f>
        <v>4.12</v>
      </c>
      <c r="J266" s="13">
        <v>0</v>
      </c>
      <c r="K266" s="13">
        <v>0</v>
      </c>
      <c r="L266" s="13">
        <v>0</v>
      </c>
      <c r="M266" s="13">
        <v>0</v>
      </c>
      <c r="N266" s="218" t="str">
        <f t="shared" si="361"/>
        <v/>
      </c>
      <c r="O266" s="119">
        <v>1.77</v>
      </c>
      <c r="P266" s="119"/>
      <c r="Q266" s="136"/>
      <c r="R266" s="74"/>
      <c r="S266" s="74"/>
      <c r="T266" s="74"/>
      <c r="U266" s="74"/>
      <c r="V266" s="134">
        <f>1-(V263/V260)</f>
        <v>0.46675928330626482</v>
      </c>
      <c r="W266" s="134">
        <f>1-(W263/W260)</f>
        <v>0.46675928330626482</v>
      </c>
      <c r="X266" s="134">
        <f>1-(X263/X260)</f>
        <v>0.47916666666666663</v>
      </c>
    </row>
    <row r="267" spans="1:24">
      <c r="C267" s="292" t="s">
        <v>274</v>
      </c>
      <c r="D267" s="106" t="s">
        <v>411</v>
      </c>
      <c r="E267" s="55">
        <v>1</v>
      </c>
      <c r="F267" s="74">
        <f t="shared" si="363"/>
        <v>1</v>
      </c>
      <c r="G267" s="13">
        <v>106</v>
      </c>
      <c r="H267" s="13">
        <f t="shared" si="362"/>
        <v>106</v>
      </c>
      <c r="I267" s="102">
        <f>F267*O266</f>
        <v>1.77</v>
      </c>
      <c r="J267" s="13">
        <v>0</v>
      </c>
      <c r="K267" s="13">
        <v>0</v>
      </c>
      <c r="L267" s="13">
        <v>0</v>
      </c>
      <c r="M267" s="13">
        <v>0</v>
      </c>
      <c r="N267" s="218" t="str">
        <f t="shared" si="361"/>
        <v/>
      </c>
      <c r="O267" s="119">
        <v>1.37</v>
      </c>
      <c r="P267" s="1"/>
      <c r="Q267" s="136"/>
      <c r="R267" s="74"/>
      <c r="S267" s="74"/>
      <c r="T267" s="74"/>
      <c r="U267" s="74"/>
      <c r="V267" s="134"/>
      <c r="W267" s="134"/>
      <c r="X267" s="134"/>
    </row>
    <row r="268" spans="1:24">
      <c r="B268" t="str">
        <f t="shared" ref="B268:B293" si="364">IF(F268&gt;=1,C268,"")</f>
        <v/>
      </c>
      <c r="C268" s="143" t="s">
        <v>781</v>
      </c>
      <c r="D268" s="182" t="s">
        <v>782</v>
      </c>
      <c r="E268" s="53"/>
      <c r="F268" s="290">
        <v>0</v>
      </c>
      <c r="G268" s="13">
        <v>149.94999999999999</v>
      </c>
      <c r="H268" s="13">
        <f t="shared" ref="H268" si="365">G268*1.25</f>
        <v>187.4375</v>
      </c>
      <c r="I268" s="102">
        <f t="shared" ref="I268:I273" si="366">F268*O268</f>
        <v>0</v>
      </c>
      <c r="J268" s="13">
        <f t="shared" ref="J268:J295" si="367">F268*G268</f>
        <v>0</v>
      </c>
      <c r="K268" s="13">
        <f t="shared" ref="K268" si="368">J268*(1+$M$1)</f>
        <v>0</v>
      </c>
      <c r="L268" s="13">
        <f>ROUND(H268*(1+$M$258),2)</f>
        <v>359.88</v>
      </c>
      <c r="M268" s="13">
        <f t="shared" ref="M268:M283" si="369">F268*L268</f>
        <v>0</v>
      </c>
      <c r="N268" s="218" t="str">
        <f t="shared" si="361"/>
        <v/>
      </c>
      <c r="O268" s="1"/>
      <c r="P268" s="1"/>
      <c r="Q268" s="294" t="s">
        <v>371</v>
      </c>
      <c r="R268" s="132" t="s">
        <v>372</v>
      </c>
      <c r="S268" s="136"/>
      <c r="T268" s="136"/>
      <c r="U268" s="74"/>
      <c r="V268" s="294" t="s">
        <v>378</v>
      </c>
      <c r="W268" s="74"/>
      <c r="X268" s="74"/>
    </row>
    <row r="269" spans="1:24">
      <c r="B269" t="str">
        <f t="shared" si="364"/>
        <v/>
      </c>
      <c r="C269" s="443" t="s">
        <v>783</v>
      </c>
      <c r="D269" s="440" t="s">
        <v>784</v>
      </c>
      <c r="E269" s="53"/>
      <c r="F269" s="290">
        <v>0</v>
      </c>
      <c r="G269" s="421">
        <v>284</v>
      </c>
      <c r="H269" s="13">
        <v>284</v>
      </c>
      <c r="I269" s="102">
        <f t="shared" si="366"/>
        <v>0</v>
      </c>
      <c r="J269" s="13">
        <f t="shared" ref="J269" si="370">F269*G269</f>
        <v>0</v>
      </c>
      <c r="K269" s="13">
        <f t="shared" ref="K269" si="371">J269*(1+$M$1)</f>
        <v>0</v>
      </c>
      <c r="L269" s="13">
        <f>ROUND(H269*(1+$M$258),2)</f>
        <v>545.28</v>
      </c>
      <c r="M269" s="13">
        <f t="shared" si="369"/>
        <v>0</v>
      </c>
      <c r="N269" s="218"/>
      <c r="O269" s="1">
        <v>26</v>
      </c>
      <c r="P269" s="1"/>
      <c r="Q269" s="304">
        <v>0</v>
      </c>
      <c r="R269" s="134">
        <f>Q269/V260</f>
        <v>0</v>
      </c>
      <c r="S269" s="134"/>
      <c r="T269" s="134"/>
      <c r="U269" s="74"/>
      <c r="V269" s="305">
        <f ca="1">TODAY()+7</f>
        <v>46232</v>
      </c>
      <c r="W269" s="74"/>
      <c r="X269" s="74"/>
    </row>
    <row r="270" spans="1:24">
      <c r="B270" t="str">
        <f t="shared" si="364"/>
        <v/>
      </c>
      <c r="C270" s="443" t="s">
        <v>785</v>
      </c>
      <c r="D270" s="441" t="s">
        <v>786</v>
      </c>
      <c r="E270" s="53"/>
      <c r="F270" s="290">
        <v>0</v>
      </c>
      <c r="G270" s="421">
        <v>284</v>
      </c>
      <c r="H270" s="13">
        <v>284</v>
      </c>
      <c r="I270" s="102">
        <f t="shared" si="366"/>
        <v>0</v>
      </c>
      <c r="J270" s="13">
        <f t="shared" ref="J270:J273" si="372">F270*G270</f>
        <v>0</v>
      </c>
      <c r="K270" s="13">
        <f t="shared" ref="K270:K273" si="373">J270*(1+$M$1)</f>
        <v>0</v>
      </c>
      <c r="L270" s="13">
        <f>ROUND(H270*(1+$M$258),2)</f>
        <v>545.28</v>
      </c>
      <c r="M270" s="13">
        <f t="shared" si="369"/>
        <v>0</v>
      </c>
      <c r="N270" s="218"/>
      <c r="O270" s="1">
        <v>26</v>
      </c>
      <c r="P270" s="1"/>
      <c r="Q270" s="444"/>
      <c r="R270" s="134"/>
      <c r="S270" s="134"/>
      <c r="T270" s="134"/>
      <c r="U270" s="74"/>
      <c r="V270" s="305"/>
      <c r="W270" s="74"/>
      <c r="X270" s="74"/>
    </row>
    <row r="271" spans="1:24">
      <c r="B271" t="str">
        <f t="shared" si="364"/>
        <v/>
      </c>
      <c r="C271" s="443" t="s">
        <v>787</v>
      </c>
      <c r="D271" s="442" t="s">
        <v>788</v>
      </c>
      <c r="E271" s="53"/>
      <c r="F271" s="290">
        <v>0</v>
      </c>
      <c r="G271" s="421">
        <f>G269+G270+G270</f>
        <v>852</v>
      </c>
      <c r="H271" s="13">
        <f>G271</f>
        <v>852</v>
      </c>
      <c r="I271" s="102">
        <f t="shared" si="366"/>
        <v>0</v>
      </c>
      <c r="J271" s="13">
        <f t="shared" si="372"/>
        <v>0</v>
      </c>
      <c r="K271" s="13">
        <f t="shared" si="373"/>
        <v>0</v>
      </c>
      <c r="L271" s="13">
        <f>ROUND(H271*(1.65),2)</f>
        <v>1405.8</v>
      </c>
      <c r="M271" s="13">
        <f t="shared" si="369"/>
        <v>0</v>
      </c>
      <c r="N271" s="218"/>
      <c r="O271" s="1">
        <f>26*3</f>
        <v>78</v>
      </c>
      <c r="P271" s="1"/>
      <c r="Q271" s="444"/>
      <c r="R271" s="134"/>
      <c r="S271" s="134"/>
      <c r="T271" s="134"/>
      <c r="U271" s="74"/>
      <c r="V271" s="305"/>
      <c r="W271" s="74"/>
      <c r="X271" s="74"/>
    </row>
    <row r="272" spans="1:24">
      <c r="B272" t="str">
        <f t="shared" si="364"/>
        <v>FLEX69722</v>
      </c>
      <c r="C272" s="443" t="s">
        <v>789</v>
      </c>
      <c r="D272" s="442" t="s">
        <v>790</v>
      </c>
      <c r="E272" s="53"/>
      <c r="F272" s="290">
        <v>1</v>
      </c>
      <c r="G272" s="13">
        <v>284</v>
      </c>
      <c r="H272" s="13">
        <f t="shared" ref="H272:H273" si="374">G272</f>
        <v>284</v>
      </c>
      <c r="I272" s="102">
        <f t="shared" si="366"/>
        <v>26</v>
      </c>
      <c r="J272" s="13">
        <f t="shared" si="372"/>
        <v>284</v>
      </c>
      <c r="K272" s="13">
        <f t="shared" si="373"/>
        <v>284</v>
      </c>
      <c r="L272" s="13">
        <v>574.09</v>
      </c>
      <c r="M272" s="13">
        <f t="shared" si="369"/>
        <v>574.09</v>
      </c>
      <c r="N272" s="218">
        <f>IFERROR((M272/K272)-1,"")</f>
        <v>1.0214436619718312</v>
      </c>
      <c r="O272" s="1">
        <v>26</v>
      </c>
      <c r="P272" s="1"/>
      <c r="Q272" s="444"/>
      <c r="R272" s="134"/>
      <c r="S272" s="134"/>
      <c r="T272" s="134"/>
      <c r="U272" s="74"/>
      <c r="V272" s="305"/>
      <c r="W272" s="74"/>
      <c r="X272" s="74"/>
    </row>
    <row r="273" spans="2:24">
      <c r="B273" t="str">
        <f t="shared" si="364"/>
        <v/>
      </c>
      <c r="C273" s="443" t="s">
        <v>791</v>
      </c>
      <c r="D273" s="442" t="s">
        <v>792</v>
      </c>
      <c r="E273" s="53"/>
      <c r="F273" s="290">
        <v>0</v>
      </c>
      <c r="G273" s="13">
        <f>G271+G272</f>
        <v>1136</v>
      </c>
      <c r="H273" s="13">
        <f t="shared" si="374"/>
        <v>1136</v>
      </c>
      <c r="I273" s="102">
        <f t="shared" si="366"/>
        <v>0</v>
      </c>
      <c r="J273" s="13">
        <f t="shared" si="372"/>
        <v>0</v>
      </c>
      <c r="K273" s="13">
        <f t="shared" si="373"/>
        <v>0</v>
      </c>
      <c r="L273" s="13">
        <v>1936.88</v>
      </c>
      <c r="M273" s="13">
        <f t="shared" si="369"/>
        <v>0</v>
      </c>
      <c r="N273" s="218"/>
      <c r="O273" s="1">
        <f>O271+O272</f>
        <v>104</v>
      </c>
      <c r="P273" s="1"/>
      <c r="Q273" s="136"/>
      <c r="R273" s="74"/>
      <c r="S273" s="74"/>
      <c r="T273" s="74"/>
      <c r="U273" s="74"/>
      <c r="V273" s="74"/>
      <c r="W273" s="74"/>
      <c r="X273" s="74"/>
    </row>
    <row r="274" spans="2:24" ht="120">
      <c r="B274" t="str">
        <f t="shared" si="364"/>
        <v>FLEX-BELT-BUNDLE</v>
      </c>
      <c r="C274" s="143" t="s">
        <v>793</v>
      </c>
      <c r="D274" s="181" t="s">
        <v>794</v>
      </c>
      <c r="E274" s="53"/>
      <c r="F274" s="290">
        <v>1</v>
      </c>
      <c r="G274" s="13">
        <f>7*140</f>
        <v>980</v>
      </c>
      <c r="H274" s="13">
        <v>980</v>
      </c>
      <c r="I274" s="102"/>
      <c r="J274" s="13">
        <f t="shared" si="367"/>
        <v>980</v>
      </c>
      <c r="K274" s="13">
        <f t="shared" ref="K274:K275" si="375">J274*(1+$M$1)</f>
        <v>980</v>
      </c>
      <c r="L274" s="13">
        <v>1470</v>
      </c>
      <c r="M274" s="13">
        <f t="shared" si="369"/>
        <v>1470</v>
      </c>
      <c r="N274" s="218">
        <f>IFERROR((M274/K274)-1,"")</f>
        <v>0.5</v>
      </c>
      <c r="O274" s="1"/>
      <c r="P274" s="1"/>
      <c r="Q274" s="136"/>
      <c r="R274" s="74"/>
      <c r="S274" s="74"/>
      <c r="T274" s="74"/>
      <c r="U274" s="74"/>
      <c r="V274" s="74"/>
      <c r="W274" s="74"/>
      <c r="X274" s="74"/>
    </row>
    <row r="275" spans="2:24">
      <c r="B275" t="str">
        <f t="shared" si="364"/>
        <v>FLEX-BELT-TBD</v>
      </c>
      <c r="C275" s="143" t="s">
        <v>795</v>
      </c>
      <c r="D275" s="182" t="s">
        <v>796</v>
      </c>
      <c r="E275" s="53"/>
      <c r="F275" s="290">
        <v>2</v>
      </c>
      <c r="G275" s="13">
        <v>140</v>
      </c>
      <c r="H275" s="13">
        <v>150</v>
      </c>
      <c r="I275" s="102">
        <f t="shared" ref="I275:I295" si="376">F275*O275</f>
        <v>0</v>
      </c>
      <c r="J275" s="13">
        <f t="shared" si="367"/>
        <v>280</v>
      </c>
      <c r="K275" s="13">
        <f t="shared" si="375"/>
        <v>280</v>
      </c>
      <c r="L275" s="13">
        <f t="shared" ref="L275:L276" si="377">ROUND(H275*(1.5125),2)</f>
        <v>226.88</v>
      </c>
      <c r="M275" s="13">
        <f t="shared" si="369"/>
        <v>453.76</v>
      </c>
      <c r="N275" s="218">
        <f t="shared" ref="N275:N281" si="378">IFERROR((M275/K275)-1,"")</f>
        <v>0.62057142857142855</v>
      </c>
      <c r="O275" s="1"/>
      <c r="P275" s="1"/>
      <c r="Q275" s="136"/>
      <c r="R275" s="74"/>
      <c r="S275" s="74"/>
      <c r="T275" s="74"/>
      <c r="U275" s="74"/>
      <c r="V275" s="74"/>
      <c r="W275" s="74"/>
      <c r="X275" s="74"/>
    </row>
    <row r="276" spans="2:24">
      <c r="B276" t="str">
        <f t="shared" si="364"/>
        <v/>
      </c>
      <c r="C276" s="143" t="s">
        <v>797</v>
      </c>
      <c r="D276" s="182" t="s">
        <v>798</v>
      </c>
      <c r="E276" s="53"/>
      <c r="F276" s="290">
        <v>0</v>
      </c>
      <c r="G276" s="13">
        <v>150</v>
      </c>
      <c r="H276" s="13">
        <v>150</v>
      </c>
      <c r="I276" s="102">
        <f t="shared" si="376"/>
        <v>0</v>
      </c>
      <c r="J276" s="13">
        <f t="shared" si="367"/>
        <v>0</v>
      </c>
      <c r="K276" s="13">
        <f t="shared" ref="K276:K289" si="379">J276*(1+$M$1)</f>
        <v>0</v>
      </c>
      <c r="L276" s="13">
        <f t="shared" si="377"/>
        <v>226.88</v>
      </c>
      <c r="M276" s="13">
        <f t="shared" si="369"/>
        <v>0</v>
      </c>
      <c r="N276" s="218" t="str">
        <f t="shared" si="378"/>
        <v/>
      </c>
      <c r="O276" s="1"/>
      <c r="P276" s="1"/>
      <c r="Q276" s="306"/>
      <c r="R276" s="307"/>
      <c r="S276" s="307"/>
      <c r="T276" s="307"/>
      <c r="U276" s="141" t="s">
        <v>387</v>
      </c>
      <c r="V276" s="141"/>
      <c r="W276" s="141"/>
      <c r="X276" s="141"/>
    </row>
    <row r="277" spans="2:24">
      <c r="B277" t="str">
        <f t="shared" si="364"/>
        <v/>
      </c>
      <c r="C277" s="143" t="s">
        <v>799</v>
      </c>
      <c r="D277" s="420" t="s">
        <v>800</v>
      </c>
      <c r="E277" s="53"/>
      <c r="F277" s="290">
        <v>0</v>
      </c>
      <c r="G277" s="13">
        <v>150</v>
      </c>
      <c r="H277" s="13">
        <v>150</v>
      </c>
      <c r="I277" s="102">
        <f t="shared" si="376"/>
        <v>0</v>
      </c>
      <c r="J277" s="13">
        <f t="shared" si="367"/>
        <v>0</v>
      </c>
      <c r="K277" s="13">
        <f t="shared" si="379"/>
        <v>0</v>
      </c>
      <c r="L277" s="13">
        <f>ROUND(H277*(1.5125),2)</f>
        <v>226.88</v>
      </c>
      <c r="M277" s="13">
        <f t="shared" si="369"/>
        <v>0</v>
      </c>
      <c r="N277" s="218" t="str">
        <f t="shared" si="378"/>
        <v/>
      </c>
      <c r="O277" s="1"/>
      <c r="P277" s="1"/>
      <c r="Q277" s="140"/>
      <c r="R277" s="134"/>
      <c r="S277" s="134"/>
      <c r="T277" s="134"/>
      <c r="U277" s="74" t="s">
        <v>389</v>
      </c>
      <c r="V277" s="74"/>
      <c r="W277" s="74"/>
      <c r="X277" s="74"/>
    </row>
    <row r="278" spans="2:24">
      <c r="B278" t="str">
        <f t="shared" si="364"/>
        <v/>
      </c>
      <c r="C278" s="143" t="s">
        <v>801</v>
      </c>
      <c r="D278" s="182" t="s">
        <v>802</v>
      </c>
      <c r="E278" s="53"/>
      <c r="F278" s="290">
        <v>0</v>
      </c>
      <c r="G278" s="13">
        <v>150</v>
      </c>
      <c r="H278" s="13">
        <v>150</v>
      </c>
      <c r="I278" s="102">
        <f t="shared" si="376"/>
        <v>0</v>
      </c>
      <c r="J278" s="13">
        <f t="shared" si="367"/>
        <v>0</v>
      </c>
      <c r="K278" s="13">
        <f t="shared" si="379"/>
        <v>0</v>
      </c>
      <c r="L278" s="13">
        <f t="shared" ref="L278:L282" si="380">ROUND(H278*(1.5125),2)</f>
        <v>226.88</v>
      </c>
      <c r="M278" s="13">
        <f t="shared" si="369"/>
        <v>0</v>
      </c>
      <c r="N278" s="218" t="str">
        <f t="shared" si="378"/>
        <v/>
      </c>
      <c r="O278" s="1"/>
      <c r="P278" s="1"/>
      <c r="Q278" s="140"/>
      <c r="R278" s="134"/>
      <c r="S278" s="134"/>
      <c r="T278" s="134"/>
      <c r="U278" s="74" t="s">
        <v>391</v>
      </c>
      <c r="V278" s="74"/>
      <c r="W278" s="74"/>
      <c r="X278" s="74"/>
    </row>
    <row r="279" spans="2:24">
      <c r="B279" t="str">
        <f t="shared" si="364"/>
        <v/>
      </c>
      <c r="C279" s="143" t="s">
        <v>803</v>
      </c>
      <c r="D279" s="182" t="s">
        <v>804</v>
      </c>
      <c r="E279" s="53"/>
      <c r="F279" s="290">
        <v>0</v>
      </c>
      <c r="G279" s="13">
        <v>150</v>
      </c>
      <c r="H279" s="13">
        <v>150</v>
      </c>
      <c r="I279" s="102">
        <f t="shared" si="376"/>
        <v>0</v>
      </c>
      <c r="J279" s="13">
        <f t="shared" si="367"/>
        <v>0</v>
      </c>
      <c r="K279" s="13">
        <f t="shared" si="379"/>
        <v>0</v>
      </c>
      <c r="L279" s="13">
        <f t="shared" si="380"/>
        <v>226.88</v>
      </c>
      <c r="M279" s="13">
        <f t="shared" si="369"/>
        <v>0</v>
      </c>
      <c r="N279" s="218" t="str">
        <f t="shared" si="378"/>
        <v/>
      </c>
      <c r="O279" s="1"/>
      <c r="P279" s="1"/>
      <c r="Q279" s="141"/>
      <c r="R279" s="141"/>
      <c r="S279" s="141"/>
      <c r="T279" s="141"/>
      <c r="U279" s="141"/>
      <c r="V279" s="141"/>
      <c r="W279" s="141"/>
      <c r="X279" s="141"/>
    </row>
    <row r="280" spans="2:24">
      <c r="B280" t="str">
        <f t="shared" si="364"/>
        <v/>
      </c>
      <c r="C280" s="143" t="s">
        <v>805</v>
      </c>
      <c r="D280" s="182" t="s">
        <v>806</v>
      </c>
      <c r="E280" s="53"/>
      <c r="F280" s="290">
        <v>0</v>
      </c>
      <c r="G280" s="13">
        <v>150</v>
      </c>
      <c r="H280" s="13">
        <v>150</v>
      </c>
      <c r="I280" s="102">
        <f t="shared" si="376"/>
        <v>0</v>
      </c>
      <c r="J280" s="13">
        <f t="shared" si="367"/>
        <v>0</v>
      </c>
      <c r="K280" s="13">
        <f t="shared" si="379"/>
        <v>0</v>
      </c>
      <c r="L280" s="13">
        <f>ROUND(H280*(1.5125),2)</f>
        <v>226.88</v>
      </c>
      <c r="M280" s="13">
        <f t="shared" si="369"/>
        <v>0</v>
      </c>
      <c r="N280" s="218" t="str">
        <f t="shared" si="378"/>
        <v/>
      </c>
      <c r="O280" s="1"/>
      <c r="P280" s="1"/>
      <c r="Q280" s="141"/>
      <c r="R280" s="141"/>
      <c r="S280" s="141"/>
      <c r="T280" s="141"/>
      <c r="U280" s="141"/>
      <c r="V280" s="141"/>
      <c r="W280" s="141"/>
      <c r="X280" s="141"/>
    </row>
    <row r="281" spans="2:24">
      <c r="B281" t="str">
        <f t="shared" si="364"/>
        <v>FLEX-BELT-XL</v>
      </c>
      <c r="C281" s="143" t="s">
        <v>807</v>
      </c>
      <c r="D281" s="182" t="s">
        <v>808</v>
      </c>
      <c r="E281" s="53"/>
      <c r="F281" s="290">
        <v>1</v>
      </c>
      <c r="G281" s="13">
        <v>150</v>
      </c>
      <c r="H281" s="13">
        <v>150</v>
      </c>
      <c r="I281" s="102">
        <f t="shared" si="376"/>
        <v>0</v>
      </c>
      <c r="J281" s="13">
        <f t="shared" si="367"/>
        <v>150</v>
      </c>
      <c r="K281" s="13">
        <f t="shared" si="379"/>
        <v>150</v>
      </c>
      <c r="L281" s="13">
        <f t="shared" si="380"/>
        <v>226.88</v>
      </c>
      <c r="M281" s="13">
        <f t="shared" si="369"/>
        <v>226.88</v>
      </c>
      <c r="N281" s="218">
        <f t="shared" si="378"/>
        <v>0.51253333333333329</v>
      </c>
      <c r="O281" s="1"/>
      <c r="P281" s="1"/>
      <c r="Q281" s="141"/>
      <c r="R281" s="141"/>
      <c r="S281" s="141"/>
      <c r="T281" s="141"/>
      <c r="U281" s="141"/>
      <c r="V281" s="141"/>
      <c r="W281" s="141"/>
      <c r="X281" s="141"/>
    </row>
    <row r="282" spans="2:24">
      <c r="B282" t="str">
        <f t="shared" si="364"/>
        <v/>
      </c>
      <c r="C282" s="143" t="s">
        <v>809</v>
      </c>
      <c r="D282" s="182" t="s">
        <v>810</v>
      </c>
      <c r="E282" s="53"/>
      <c r="F282" s="290">
        <v>0</v>
      </c>
      <c r="G282" s="13">
        <v>150</v>
      </c>
      <c r="H282" s="13">
        <v>150</v>
      </c>
      <c r="I282" s="102">
        <f t="shared" si="376"/>
        <v>0</v>
      </c>
      <c r="J282" s="13">
        <f t="shared" si="367"/>
        <v>0</v>
      </c>
      <c r="K282" s="13">
        <f t="shared" si="379"/>
        <v>0</v>
      </c>
      <c r="L282" s="13">
        <f t="shared" si="380"/>
        <v>226.88</v>
      </c>
      <c r="M282" s="13">
        <f t="shared" si="369"/>
        <v>0</v>
      </c>
      <c r="N282" s="218" t="str">
        <f t="shared" ref="N282:N283" si="381">IFERROR((M282/K282)-1,"")</f>
        <v/>
      </c>
      <c r="O282" s="1"/>
      <c r="P282" s="1"/>
      <c r="Q282" s="141"/>
      <c r="R282" s="141"/>
      <c r="S282" s="141"/>
      <c r="T282" s="141"/>
      <c r="U282" s="141"/>
      <c r="V282" s="141"/>
      <c r="W282" s="141"/>
      <c r="X282" s="141"/>
    </row>
    <row r="283" spans="2:24">
      <c r="B283" t="str">
        <f t="shared" si="364"/>
        <v>3RD-FREIGHT</v>
      </c>
      <c r="C283" s="143" t="s">
        <v>628</v>
      </c>
      <c r="D283" s="182" t="s">
        <v>811</v>
      </c>
      <c r="E283" s="53"/>
      <c r="F283" s="473">
        <f>IF(SUM(F274:F282)&gt;0.5, 1, 0)</f>
        <v>1</v>
      </c>
      <c r="G283" s="13">
        <v>10</v>
      </c>
      <c r="H283" s="13">
        <f>G283</f>
        <v>10</v>
      </c>
      <c r="I283" s="102">
        <f t="shared" si="376"/>
        <v>0</v>
      </c>
      <c r="J283" s="13">
        <f t="shared" ref="J283:J288" si="382">F283*G283</f>
        <v>10</v>
      </c>
      <c r="K283" s="13">
        <f>J283*(1+$M$1)</f>
        <v>10</v>
      </c>
      <c r="L283" s="13">
        <v>95</v>
      </c>
      <c r="M283" s="13">
        <f t="shared" si="369"/>
        <v>95</v>
      </c>
      <c r="N283" s="218">
        <f t="shared" si="381"/>
        <v>8.5</v>
      </c>
      <c r="O283" s="1"/>
      <c r="P283" s="1"/>
      <c r="Q283" s="141"/>
      <c r="R283" s="141"/>
      <c r="S283" s="141"/>
      <c r="T283" s="141"/>
      <c r="U283" s="141"/>
      <c r="V283" s="141"/>
      <c r="W283" s="141"/>
      <c r="X283" s="141"/>
    </row>
    <row r="284" spans="2:24">
      <c r="B284" t="str">
        <f t="shared" si="364"/>
        <v>UEU-HARKIT</v>
      </c>
      <c r="C284" s="143" t="s">
        <v>812</v>
      </c>
      <c r="D284" s="182" t="s">
        <v>813</v>
      </c>
      <c r="E284" s="53"/>
      <c r="F284" s="290">
        <v>1</v>
      </c>
      <c r="G284" s="13">
        <f>SUM(G285:G288)</f>
        <v>63.260000000000005</v>
      </c>
      <c r="H284" s="13">
        <f t="shared" ref="H284:H288" si="383">G284</f>
        <v>63.260000000000005</v>
      </c>
      <c r="I284" s="102">
        <f t="shared" si="376"/>
        <v>15</v>
      </c>
      <c r="J284" s="13">
        <f>SUM(J285:J288)</f>
        <v>90.860000000000014</v>
      </c>
      <c r="K284" s="13">
        <f>J284*(1+$M$1)</f>
        <v>90.860000000000014</v>
      </c>
      <c r="L284" s="13">
        <f>K284*2.25</f>
        <v>204.43500000000003</v>
      </c>
      <c r="M284" s="13">
        <f t="shared" ref="M284:M288" si="384">F284*L284</f>
        <v>204.43500000000003</v>
      </c>
      <c r="N284" s="218">
        <f t="shared" ref="N284:N288" si="385">IFERROR((M284/K284)-1,"")</f>
        <v>1.25</v>
      </c>
      <c r="O284" s="1">
        <v>15</v>
      </c>
      <c r="P284" s="1"/>
      <c r="Q284" s="141"/>
      <c r="R284" s="141"/>
      <c r="S284" s="141"/>
      <c r="T284" s="141"/>
      <c r="U284" s="141"/>
      <c r="V284" s="141"/>
      <c r="W284" s="141"/>
      <c r="X284" s="141"/>
    </row>
    <row r="285" spans="2:24">
      <c r="B285" t="str">
        <f t="shared" si="364"/>
        <v>P-2526</v>
      </c>
      <c r="C285" s="143" t="s">
        <v>814</v>
      </c>
      <c r="D285" s="182" t="s">
        <v>815</v>
      </c>
      <c r="E285" s="53"/>
      <c r="F285" s="473">
        <f>IF($F$284=1,1,0)</f>
        <v>1</v>
      </c>
      <c r="G285" s="13">
        <f>VLOOKUP(C285,lists!I:L,4,FALSE)</f>
        <v>10.5</v>
      </c>
      <c r="H285" s="13">
        <f t="shared" si="383"/>
        <v>10.5</v>
      </c>
      <c r="I285" s="102">
        <f t="shared" si="376"/>
        <v>0</v>
      </c>
      <c r="J285" s="13">
        <f t="shared" si="382"/>
        <v>10.5</v>
      </c>
      <c r="K285" s="13"/>
      <c r="L285" s="13"/>
      <c r="M285" s="13">
        <f t="shared" si="384"/>
        <v>0</v>
      </c>
      <c r="N285" s="218" t="str">
        <f t="shared" si="385"/>
        <v/>
      </c>
      <c r="O285" s="1"/>
      <c r="P285" s="1"/>
      <c r="Q285" s="141"/>
      <c r="R285" s="141"/>
      <c r="S285" s="141"/>
      <c r="T285" s="141"/>
      <c r="U285" s="141"/>
      <c r="V285" s="141"/>
      <c r="W285" s="141"/>
      <c r="X285" s="141"/>
    </row>
    <row r="286" spans="2:24">
      <c r="B286" t="str">
        <f t="shared" si="364"/>
        <v>B0983M934C</v>
      </c>
      <c r="C286" s="143" t="s">
        <v>816</v>
      </c>
      <c r="D286" s="182" t="s">
        <v>817</v>
      </c>
      <c r="E286" s="53"/>
      <c r="F286" s="473">
        <f t="shared" ref="F286:F287" si="386">IF($F$284=1,1,0)</f>
        <v>1</v>
      </c>
      <c r="G286" s="13">
        <v>16.190000000000001</v>
      </c>
      <c r="H286" s="13">
        <f t="shared" si="383"/>
        <v>16.190000000000001</v>
      </c>
      <c r="I286" s="102">
        <f t="shared" si="376"/>
        <v>0</v>
      </c>
      <c r="J286" s="13">
        <f t="shared" si="382"/>
        <v>16.190000000000001</v>
      </c>
      <c r="K286" s="13"/>
      <c r="L286" s="13"/>
      <c r="M286" s="13">
        <f t="shared" si="384"/>
        <v>0</v>
      </c>
      <c r="N286" s="218" t="str">
        <f t="shared" si="385"/>
        <v/>
      </c>
      <c r="O286" s="1"/>
      <c r="P286" s="1"/>
      <c r="Q286" s="141"/>
      <c r="R286" s="141"/>
      <c r="S286" s="141"/>
      <c r="T286" s="141"/>
      <c r="U286" s="141"/>
      <c r="V286" s="141"/>
      <c r="W286" s="141"/>
      <c r="X286" s="141"/>
    </row>
    <row r="287" spans="2:24">
      <c r="B287" t="str">
        <f t="shared" si="364"/>
        <v>B01MSIUGTM</v>
      </c>
      <c r="C287" s="143" t="s">
        <v>818</v>
      </c>
      <c r="D287" s="182" t="s">
        <v>819</v>
      </c>
      <c r="E287" s="53"/>
      <c r="F287" s="473">
        <f t="shared" si="386"/>
        <v>1</v>
      </c>
      <c r="G287" s="13">
        <v>22.77</v>
      </c>
      <c r="H287" s="13">
        <f t="shared" si="383"/>
        <v>22.77</v>
      </c>
      <c r="I287" s="102">
        <f t="shared" si="376"/>
        <v>0</v>
      </c>
      <c r="J287" s="13">
        <f t="shared" si="382"/>
        <v>22.77</v>
      </c>
      <c r="K287" s="13"/>
      <c r="L287" s="13"/>
      <c r="M287" s="13">
        <f t="shared" si="384"/>
        <v>0</v>
      </c>
      <c r="N287" s="218" t="str">
        <f t="shared" si="385"/>
        <v/>
      </c>
      <c r="O287" s="1"/>
      <c r="P287" s="1"/>
      <c r="Q287" s="141"/>
      <c r="R287" s="141"/>
      <c r="S287" s="141"/>
      <c r="T287" s="141"/>
      <c r="U287" s="141"/>
      <c r="V287" s="141"/>
      <c r="W287" s="141"/>
      <c r="X287" s="141"/>
    </row>
    <row r="288" spans="2:24">
      <c r="B288" t="str">
        <f t="shared" si="364"/>
        <v>B0C9Y4Q8WG</v>
      </c>
      <c r="C288" s="143" t="s">
        <v>820</v>
      </c>
      <c r="D288" s="182" t="s">
        <v>821</v>
      </c>
      <c r="E288" s="53"/>
      <c r="F288" s="473">
        <f>IF($F$284=1,3,0)</f>
        <v>3</v>
      </c>
      <c r="G288" s="13">
        <v>13.8</v>
      </c>
      <c r="H288" s="13">
        <f t="shared" si="383"/>
        <v>13.8</v>
      </c>
      <c r="I288" s="102">
        <f t="shared" si="376"/>
        <v>0</v>
      </c>
      <c r="J288" s="13">
        <f t="shared" si="382"/>
        <v>41.400000000000006</v>
      </c>
      <c r="K288" s="13"/>
      <c r="L288" s="13"/>
      <c r="M288" s="13">
        <f t="shared" si="384"/>
        <v>0</v>
      </c>
      <c r="N288" s="218" t="str">
        <f t="shared" si="385"/>
        <v/>
      </c>
      <c r="O288" s="1"/>
      <c r="P288" s="1"/>
      <c r="Q288" s="141"/>
      <c r="R288" s="141"/>
      <c r="S288" s="141"/>
      <c r="T288" s="141"/>
      <c r="U288" s="141"/>
      <c r="V288" s="141"/>
      <c r="W288" s="141"/>
      <c r="X288" s="141"/>
    </row>
    <row r="289" spans="1:36">
      <c r="B289" t="str">
        <f t="shared" si="364"/>
        <v>FLEX-RACK</v>
      </c>
      <c r="C289" s="143" t="s">
        <v>822</v>
      </c>
      <c r="D289" s="182" t="s">
        <v>823</v>
      </c>
      <c r="E289" s="53"/>
      <c r="F289" s="290">
        <v>1</v>
      </c>
      <c r="G289" s="13">
        <v>65</v>
      </c>
      <c r="H289" s="13">
        <f>G289</f>
        <v>65</v>
      </c>
      <c r="I289" s="102">
        <f t="shared" si="376"/>
        <v>0</v>
      </c>
      <c r="J289" s="13">
        <f t="shared" si="367"/>
        <v>65</v>
      </c>
      <c r="K289" s="13">
        <f t="shared" si="379"/>
        <v>65</v>
      </c>
      <c r="L289" s="13">
        <f>ROUND(H289*(1.65),2)</f>
        <v>107.25</v>
      </c>
      <c r="M289" s="13">
        <f>F289*L289</f>
        <v>107.25</v>
      </c>
      <c r="N289" s="218"/>
      <c r="O289" s="1"/>
      <c r="P289" s="1"/>
      <c r="Q289" s="141"/>
      <c r="R289" s="141"/>
      <c r="S289" s="141"/>
      <c r="T289" s="141"/>
      <c r="U289" s="141"/>
      <c r="V289" s="141"/>
      <c r="W289" s="141"/>
      <c r="X289" s="141"/>
    </row>
    <row r="290" spans="1:36">
      <c r="B290" t="str">
        <f t="shared" si="364"/>
        <v>UEU-THERABUNGEE-23</v>
      </c>
      <c r="C290" s="143" t="s">
        <v>824</v>
      </c>
      <c r="D290" s="182" t="s">
        <v>825</v>
      </c>
      <c r="E290" s="53"/>
      <c r="F290" s="290">
        <v>1</v>
      </c>
      <c r="G290" s="13">
        <v>180.04</v>
      </c>
      <c r="H290" s="13">
        <f t="shared" ref="H290:H295" si="387">G290*(1+$M$1)</f>
        <v>180.04</v>
      </c>
      <c r="I290" s="102">
        <f t="shared" si="376"/>
        <v>25</v>
      </c>
      <c r="J290" s="13">
        <f t="shared" si="367"/>
        <v>180.04</v>
      </c>
      <c r="K290" s="13">
        <f t="shared" ref="K290:K292" si="388">J290*(1+$M$1)</f>
        <v>180.04</v>
      </c>
      <c r="L290" s="13">
        <f>ROUND(H290*(1.65),2)</f>
        <v>297.07</v>
      </c>
      <c r="M290" s="13">
        <f>F290*L290</f>
        <v>297.07</v>
      </c>
      <c r="N290" s="218">
        <f>IFERROR((M290/K290)-1,"")</f>
        <v>0.65002221728504783</v>
      </c>
      <c r="O290" s="1">
        <v>25</v>
      </c>
      <c r="P290" s="1"/>
      <c r="Q290" s="141"/>
      <c r="R290" s="141"/>
      <c r="S290" s="141"/>
      <c r="T290" s="141"/>
      <c r="U290" s="141"/>
      <c r="V290" s="141"/>
      <c r="W290" s="141"/>
      <c r="X290" s="141"/>
    </row>
    <row r="291" spans="1:36">
      <c r="B291" t="str">
        <f t="shared" si="364"/>
        <v/>
      </c>
      <c r="C291" s="143" t="s">
        <v>826</v>
      </c>
      <c r="D291" s="182" t="s">
        <v>827</v>
      </c>
      <c r="E291" s="53"/>
      <c r="F291" s="290">
        <v>0</v>
      </c>
      <c r="G291" s="13">
        <v>399</v>
      </c>
      <c r="H291" s="13">
        <f t="shared" si="387"/>
        <v>399</v>
      </c>
      <c r="I291" s="102">
        <v>0</v>
      </c>
      <c r="J291" s="13">
        <f t="shared" si="367"/>
        <v>0</v>
      </c>
      <c r="K291" s="13">
        <f t="shared" si="388"/>
        <v>0</v>
      </c>
      <c r="L291" s="13">
        <f>ROUND(H291*(1.65),2)</f>
        <v>658.35</v>
      </c>
      <c r="M291" s="13">
        <f t="shared" ref="M291:M292" si="389">F291*L291</f>
        <v>0</v>
      </c>
      <c r="N291" s="218" t="str">
        <f t="shared" ref="N291:N292" si="390">IFERROR((M291/K291)-1,"")</f>
        <v/>
      </c>
      <c r="O291" s="1"/>
      <c r="P291" s="1"/>
      <c r="Q291" s="141"/>
      <c r="R291" s="141"/>
      <c r="S291" s="141"/>
      <c r="T291" s="141"/>
      <c r="U291" s="141"/>
      <c r="V291" s="141"/>
      <c r="W291" s="141"/>
      <c r="X291" s="141"/>
    </row>
    <row r="292" spans="1:36">
      <c r="B292" t="str">
        <f t="shared" si="364"/>
        <v>OUISTITI</v>
      </c>
      <c r="C292" s="143" t="s">
        <v>828</v>
      </c>
      <c r="D292" s="182" t="s">
        <v>829</v>
      </c>
      <c r="E292" s="53"/>
      <c r="F292" s="290">
        <v>1</v>
      </c>
      <c r="G292" s="13">
        <v>99</v>
      </c>
      <c r="H292" s="13">
        <f t="shared" si="387"/>
        <v>99</v>
      </c>
      <c r="I292" s="102">
        <v>2</v>
      </c>
      <c r="J292" s="13">
        <f t="shared" si="367"/>
        <v>99</v>
      </c>
      <c r="K292" s="13">
        <f t="shared" si="388"/>
        <v>99</v>
      </c>
      <c r="L292" s="13">
        <f>ROUND(H292*(1.65),2)</f>
        <v>163.35</v>
      </c>
      <c r="M292" s="13">
        <f t="shared" si="389"/>
        <v>163.35</v>
      </c>
      <c r="N292" s="218">
        <f t="shared" si="390"/>
        <v>0.64999999999999991</v>
      </c>
      <c r="O292" s="1"/>
      <c r="P292" s="1"/>
      <c r="Q292" s="141"/>
      <c r="R292" s="141"/>
      <c r="S292" s="141"/>
      <c r="T292" s="141"/>
      <c r="U292" s="141"/>
      <c r="V292" s="141"/>
      <c r="W292" s="141"/>
      <c r="X292" s="141"/>
    </row>
    <row r="293" spans="1:36">
      <c r="B293" t="str">
        <f t="shared" si="364"/>
        <v/>
      </c>
      <c r="C293" s="292" t="s">
        <v>830</v>
      </c>
      <c r="D293" s="182" t="s">
        <v>831</v>
      </c>
      <c r="E293" s="53"/>
      <c r="F293" s="290">
        <v>0</v>
      </c>
      <c r="G293" s="13">
        <v>593.6</v>
      </c>
      <c r="H293" s="13">
        <f t="shared" si="387"/>
        <v>593.6</v>
      </c>
      <c r="I293" s="102">
        <f t="shared" si="376"/>
        <v>0</v>
      </c>
      <c r="J293" s="13">
        <f t="shared" si="367"/>
        <v>0</v>
      </c>
      <c r="K293" s="13">
        <f t="shared" ref="K293:K295" si="391">J293*(1+$M$1)</f>
        <v>0</v>
      </c>
      <c r="L293" s="13">
        <v>1249.99</v>
      </c>
      <c r="M293" s="13">
        <f>F293*L293</f>
        <v>0</v>
      </c>
      <c r="N293" s="218" t="str">
        <f>IFERROR((M293/K293)-1,"")</f>
        <v/>
      </c>
      <c r="O293" s="1">
        <v>65</v>
      </c>
      <c r="P293" s="1"/>
      <c r="Q293" s="141"/>
      <c r="R293" s="141"/>
      <c r="S293" s="141"/>
      <c r="T293" s="141"/>
      <c r="U293" s="141"/>
      <c r="V293" s="141"/>
      <c r="W293" s="141"/>
      <c r="X293" s="141"/>
    </row>
    <row r="294" spans="1:36">
      <c r="B294" t="str">
        <f t="shared" ref="B294:B298" si="392">IF(F294&gt;=1,C294,"")</f>
        <v>STANDARD</v>
      </c>
      <c r="C294" s="292" t="s">
        <v>729</v>
      </c>
      <c r="D294" s="182" t="s">
        <v>832</v>
      </c>
      <c r="E294" s="53"/>
      <c r="F294" s="290">
        <v>1</v>
      </c>
      <c r="G294" s="13">
        <v>650.13</v>
      </c>
      <c r="H294" s="13">
        <f t="shared" si="387"/>
        <v>650.13</v>
      </c>
      <c r="I294" s="102">
        <f t="shared" si="376"/>
        <v>65</v>
      </c>
      <c r="J294" s="13">
        <f t="shared" si="367"/>
        <v>650.13</v>
      </c>
      <c r="K294" s="13">
        <f t="shared" si="391"/>
        <v>650.13</v>
      </c>
      <c r="L294" s="13">
        <v>1649.99</v>
      </c>
      <c r="M294" s="13">
        <f>F294*L294</f>
        <v>1649.99</v>
      </c>
      <c r="N294" s="218">
        <f>IFERROR((M294/K294)-1,"")</f>
        <v>1.5379385661329272</v>
      </c>
      <c r="O294" s="1">
        <v>65</v>
      </c>
      <c r="P294" s="1"/>
      <c r="Q294" s="141"/>
      <c r="R294" s="141"/>
      <c r="S294" s="141"/>
      <c r="T294" s="141"/>
      <c r="U294" s="141"/>
      <c r="V294" s="141"/>
      <c r="W294" s="141"/>
      <c r="X294" s="141"/>
    </row>
    <row r="295" spans="1:36">
      <c r="B295" t="str">
        <f t="shared" si="392"/>
        <v/>
      </c>
      <c r="C295" s="292" t="s">
        <v>833</v>
      </c>
      <c r="D295" s="106" t="s">
        <v>834</v>
      </c>
      <c r="F295" s="290">
        <v>0</v>
      </c>
      <c r="G295" s="194">
        <v>1030.75</v>
      </c>
      <c r="H295" s="194">
        <f t="shared" si="387"/>
        <v>1030.75</v>
      </c>
      <c r="I295" s="195">
        <f t="shared" si="376"/>
        <v>0</v>
      </c>
      <c r="J295" s="194">
        <f t="shared" si="367"/>
        <v>0</v>
      </c>
      <c r="K295" s="194">
        <f t="shared" si="391"/>
        <v>0</v>
      </c>
      <c r="L295" s="194">
        <v>2369.9899999999998</v>
      </c>
      <c r="M295" s="194">
        <f>F295*L295</f>
        <v>0</v>
      </c>
      <c r="N295" s="363" t="str">
        <f>IFERROR((M295/K295)-1,"")</f>
        <v/>
      </c>
      <c r="O295" s="191">
        <v>65</v>
      </c>
      <c r="Q295" s="141"/>
      <c r="R295" s="141"/>
      <c r="S295" s="141"/>
      <c r="T295" s="141"/>
      <c r="U295" s="141"/>
      <c r="V295" s="141"/>
      <c r="W295" s="141"/>
      <c r="X295" s="141"/>
    </row>
    <row r="296" spans="1:36" s="288" customFormat="1" ht="15.75">
      <c r="A296" s="141"/>
      <c r="B296" t="str">
        <f t="shared" si="392"/>
        <v/>
      </c>
      <c r="C296"/>
      <c r="D296"/>
      <c r="E296"/>
      <c r="F296"/>
      <c r="G296" s="13"/>
      <c r="H296" s="192" t="s">
        <v>642</v>
      </c>
      <c r="I296" s="193">
        <f>SUM(I260:I295)</f>
        <v>612.21</v>
      </c>
      <c r="J296" s="13"/>
      <c r="K296" s="13"/>
      <c r="L296" s="13"/>
      <c r="M296" s="13"/>
      <c r="N296"/>
      <c r="O296"/>
      <c r="P296"/>
      <c r="Q296" s="279"/>
      <c r="R296" s="141"/>
      <c r="S296" s="141"/>
      <c r="T296" s="141"/>
      <c r="U296" s="141"/>
      <c r="V296" s="141"/>
      <c r="W296" s="141"/>
      <c r="X296" s="141"/>
      <c r="Y296"/>
      <c r="Z296"/>
      <c r="AA296"/>
      <c r="AB296" s="141"/>
      <c r="AC296" s="141"/>
      <c r="AD296" s="141"/>
      <c r="AE296" s="141"/>
      <c r="AF296" s="141"/>
      <c r="AG296" s="141"/>
      <c r="AH296" s="141"/>
      <c r="AI296" s="141"/>
      <c r="AJ296" s="141"/>
    </row>
    <row r="297" spans="1:36" s="141" customFormat="1" ht="15.75">
      <c r="B297" t="str">
        <f t="shared" si="392"/>
        <v/>
      </c>
      <c r="C297"/>
      <c r="D297"/>
      <c r="E297"/>
      <c r="F297"/>
      <c r="G297" s="13"/>
      <c r="H297" s="192" t="s">
        <v>643</v>
      </c>
      <c r="I297" s="13"/>
      <c r="J297" s="13"/>
      <c r="K297" s="196">
        <f>SUM(K260:K295)</f>
        <v>6346.03</v>
      </c>
      <c r="L297" s="13"/>
      <c r="M297" s="13"/>
      <c r="N297"/>
      <c r="O297"/>
      <c r="P297"/>
      <c r="Q297" s="279"/>
      <c r="Y297"/>
      <c r="Z297"/>
      <c r="AA297"/>
    </row>
    <row r="298" spans="1:36" s="141" customFormat="1" ht="15" customHeight="1">
      <c r="B298" t="str">
        <f t="shared" si="392"/>
        <v/>
      </c>
      <c r="C298"/>
      <c r="D298"/>
      <c r="E298"/>
      <c r="F298"/>
      <c r="G298" s="13"/>
      <c r="H298" s="192" t="s">
        <v>644</v>
      </c>
      <c r="I298" s="14"/>
      <c r="J298" s="13"/>
      <c r="K298" s="13"/>
      <c r="L298" s="13"/>
      <c r="M298" s="196">
        <f>SUM(M260:M295)</f>
        <v>12071.264999999998</v>
      </c>
      <c r="N298"/>
      <c r="O298"/>
      <c r="P298" s="279"/>
      <c r="Q298" s="279"/>
      <c r="Y298"/>
      <c r="Z298"/>
      <c r="AA298"/>
    </row>
    <row r="299" spans="1:36" s="141" customFormat="1" ht="15" customHeight="1">
      <c r="B299"/>
      <c r="C299"/>
      <c r="D299"/>
      <c r="E299"/>
      <c r="F299"/>
      <c r="G299" s="13"/>
      <c r="H299" s="192"/>
      <c r="I299" s="14"/>
      <c r="J299" s="13"/>
      <c r="K299" s="13"/>
      <c r="L299" s="196"/>
      <c r="M299"/>
      <c r="N299"/>
      <c r="O299"/>
      <c r="Y299"/>
      <c r="Z299"/>
      <c r="AA299"/>
    </row>
    <row r="300" spans="1:36" s="141" customFormat="1" ht="15" customHeight="1">
      <c r="A300" s="856" t="s">
        <v>835</v>
      </c>
      <c r="B300" s="856"/>
      <c r="C300" s="856"/>
      <c r="D300" s="856"/>
      <c r="E300" s="856"/>
      <c r="F300" s="856"/>
      <c r="G300" s="458"/>
      <c r="H300" s="455" t="s">
        <v>337</v>
      </c>
      <c r="I300" s="214">
        <v>1</v>
      </c>
      <c r="J300"/>
      <c r="K300"/>
      <c r="Y300"/>
      <c r="Z300"/>
    </row>
    <row r="301" spans="1:36" s="141" customFormat="1" ht="15" customHeight="1">
      <c r="A301" s="122" t="s">
        <v>329</v>
      </c>
      <c r="B301" s="122"/>
      <c r="C301" s="130" t="s">
        <v>174</v>
      </c>
      <c r="D301" s="130" t="s">
        <v>175</v>
      </c>
      <c r="E301" s="122" t="s">
        <v>331</v>
      </c>
      <c r="F301" s="130" t="s">
        <v>836</v>
      </c>
      <c r="G301" s="122" t="s">
        <v>770</v>
      </c>
      <c r="H301" s="327" t="s">
        <v>338</v>
      </c>
      <c r="I301" s="130" t="s">
        <v>335</v>
      </c>
      <c r="J301"/>
      <c r="K301"/>
      <c r="Y301"/>
      <c r="Z301"/>
    </row>
    <row r="302" spans="1:36" s="141" customFormat="1" ht="15" customHeight="1">
      <c r="B302" t="str">
        <f>IF(E302&gt;=1,C302,"")</f>
        <v/>
      </c>
      <c r="C302" s="456" t="s">
        <v>508</v>
      </c>
      <c r="D302" s="457" t="s">
        <v>837</v>
      </c>
      <c r="E302" s="290">
        <v>0</v>
      </c>
      <c r="F302" s="13">
        <v>111</v>
      </c>
      <c r="G302" s="13">
        <f t="shared" ref="G302:G303" si="393">F302*(1+$M$1)</f>
        <v>111</v>
      </c>
      <c r="H302" s="102">
        <v>0</v>
      </c>
      <c r="I302" s="13">
        <f>E302*F302</f>
        <v>0</v>
      </c>
      <c r="J302"/>
      <c r="K302"/>
      <c r="P302"/>
      <c r="R302"/>
      <c r="S302"/>
      <c r="T302"/>
      <c r="U302"/>
      <c r="V302"/>
      <c r="W302"/>
      <c r="X302"/>
      <c r="Y302"/>
      <c r="Z302"/>
    </row>
    <row r="303" spans="1:36">
      <c r="B303" t="str">
        <f>IF(E303&gt;=1,C303,"")</f>
        <v/>
      </c>
      <c r="C303" s="443" t="s">
        <v>510</v>
      </c>
      <c r="D303" s="457" t="s">
        <v>838</v>
      </c>
      <c r="E303" s="290">
        <v>0</v>
      </c>
      <c r="F303" s="13">
        <v>117</v>
      </c>
      <c r="G303" s="13">
        <f t="shared" si="393"/>
        <v>117</v>
      </c>
      <c r="H303" s="102">
        <v>0</v>
      </c>
      <c r="I303" s="13">
        <f>E303*G303</f>
        <v>0</v>
      </c>
      <c r="T303"/>
      <c r="Y303" s="141"/>
      <c r="Z303" s="141"/>
      <c r="AA303" s="141"/>
    </row>
    <row r="304" spans="1:36" ht="15" customHeight="1">
      <c r="B304" t="str">
        <f>IF(E304&gt;=1,C304,"")</f>
        <v/>
      </c>
      <c r="C304" s="456" t="s">
        <v>839</v>
      </c>
      <c r="D304" s="456" t="s">
        <v>840</v>
      </c>
      <c r="E304" s="290">
        <v>0</v>
      </c>
      <c r="F304" s="13">
        <v>111</v>
      </c>
      <c r="G304" s="13">
        <f t="shared" ref="G304:G305" si="394">F304*(1+$M$1)</f>
        <v>111</v>
      </c>
      <c r="H304" s="102">
        <v>0</v>
      </c>
      <c r="I304" s="13">
        <f t="shared" ref="I304:I305" si="395">E304*G304</f>
        <v>0</v>
      </c>
      <c r="T304"/>
      <c r="Y304" s="141"/>
      <c r="Z304" s="141"/>
      <c r="AA304" s="141"/>
    </row>
    <row r="305" spans="1:27" ht="15" customHeight="1">
      <c r="B305" t="str">
        <f>IF(E305&gt;=1,C305,"")</f>
        <v/>
      </c>
      <c r="C305" s="456" t="s">
        <v>841</v>
      </c>
      <c r="D305" s="456" t="s">
        <v>842</v>
      </c>
      <c r="E305" s="328">
        <v>0</v>
      </c>
      <c r="F305" s="194">
        <v>111</v>
      </c>
      <c r="G305" s="194">
        <f t="shared" si="394"/>
        <v>111</v>
      </c>
      <c r="H305" s="195">
        <v>0</v>
      </c>
      <c r="I305" s="194">
        <f t="shared" si="395"/>
        <v>0</v>
      </c>
      <c r="T305"/>
      <c r="Y305" s="141"/>
      <c r="Z305" s="141"/>
      <c r="AA305" s="141"/>
    </row>
    <row r="306" spans="1:27" ht="15" customHeight="1">
      <c r="H306" s="217">
        <f>SUM(H302:H305)</f>
        <v>0</v>
      </c>
      <c r="I306" s="217">
        <f t="shared" ref="I306" si="396">SUM(I302:I305)</f>
        <v>0</v>
      </c>
      <c r="T306"/>
      <c r="Y306" s="141"/>
      <c r="Z306" s="141"/>
      <c r="AA306" s="141"/>
    </row>
    <row r="307" spans="1:27" ht="15" customHeight="1">
      <c r="H307" s="217"/>
      <c r="I307" s="217"/>
      <c r="T307"/>
      <c r="Y307" s="141"/>
      <c r="Z307" s="141"/>
    </row>
    <row r="308" spans="1:27" ht="15" customHeight="1">
      <c r="H308" s="217"/>
      <c r="I308" s="217"/>
      <c r="T308"/>
      <c r="Y308" s="141"/>
      <c r="Z308" s="141"/>
    </row>
    <row r="309" spans="1:27" ht="15" customHeight="1">
      <c r="L309" s="46"/>
      <c r="T309"/>
      <c r="Y309" s="141"/>
      <c r="Z309" s="141"/>
    </row>
    <row r="310" spans="1:27" ht="15" customHeight="1">
      <c r="A310" s="856" t="s">
        <v>843</v>
      </c>
      <c r="B310" s="857"/>
      <c r="C310" s="857"/>
      <c r="D310" s="857"/>
      <c r="E310" s="857"/>
      <c r="F310" s="857"/>
      <c r="G310" s="458"/>
      <c r="H310" s="458"/>
      <c r="I310" s="458"/>
      <c r="J310" s="458"/>
      <c r="K310" s="458"/>
      <c r="L310" s="448"/>
      <c r="N310" s="46"/>
      <c r="T310"/>
      <c r="Z310" s="141"/>
    </row>
    <row r="311" spans="1:27" ht="15" customHeight="1">
      <c r="A311" s="130" t="s">
        <v>329</v>
      </c>
      <c r="B311" s="130"/>
      <c r="C311" s="130" t="s">
        <v>174</v>
      </c>
      <c r="D311" s="130" t="s">
        <v>844</v>
      </c>
      <c r="E311" s="130" t="s">
        <v>845</v>
      </c>
      <c r="F311" s="130" t="s">
        <v>836</v>
      </c>
      <c r="G311" s="130" t="s">
        <v>846</v>
      </c>
      <c r="H311" s="130" t="s">
        <v>847</v>
      </c>
      <c r="I311" s="130" t="s">
        <v>332</v>
      </c>
      <c r="J311" s="130" t="s">
        <v>335</v>
      </c>
      <c r="K311" s="130" t="s">
        <v>337</v>
      </c>
      <c r="L311" s="327" t="s">
        <v>338</v>
      </c>
      <c r="N311" s="46" t="s">
        <v>848</v>
      </c>
    </row>
    <row r="312" spans="1:27">
      <c r="B312" s="53" t="str">
        <f t="shared" ref="B312:B328" si="397">IF(E312&gt;=1,C312,"")</f>
        <v/>
      </c>
      <c r="C312" t="s">
        <v>849</v>
      </c>
      <c r="D312" t="s">
        <v>850</v>
      </c>
      <c r="E312" s="50">
        <v>0</v>
      </c>
      <c r="F312" s="131">
        <f>1575*0.8</f>
        <v>1260</v>
      </c>
      <c r="G312" s="131">
        <f>F312</f>
        <v>1260</v>
      </c>
      <c r="H312" s="131">
        <f>E312*G312</f>
        <v>0</v>
      </c>
      <c r="I312" s="131">
        <f>ROUND(G312*(1.25),2)</f>
        <v>1575</v>
      </c>
      <c r="J312" s="131">
        <f>E312*I312</f>
        <v>0</v>
      </c>
      <c r="K312" s="460" t="e">
        <f>(I312/H312)-1</f>
        <v>#DIV/0!</v>
      </c>
      <c r="L312" s="121"/>
      <c r="S312" s="46"/>
      <c r="T312"/>
    </row>
    <row r="313" spans="1:27" ht="60">
      <c r="B313" s="53" t="str">
        <f t="shared" si="397"/>
        <v/>
      </c>
      <c r="C313" t="s">
        <v>851</v>
      </c>
      <c r="D313" s="495" t="s">
        <v>852</v>
      </c>
      <c r="E313" s="50">
        <f>E312</f>
        <v>0</v>
      </c>
      <c r="F313" s="131">
        <v>0</v>
      </c>
      <c r="G313" s="131">
        <f t="shared" ref="G313:G328" si="398">F313</f>
        <v>0</v>
      </c>
      <c r="H313" s="131">
        <f t="shared" ref="H313:H328" si="399">E313*G313</f>
        <v>0</v>
      </c>
      <c r="I313" s="131">
        <f t="shared" ref="I313:I328" si="400">ROUND(G313*(1.25),2)</f>
        <v>0</v>
      </c>
      <c r="J313" s="131">
        <f t="shared" ref="J313:J328" si="401">E313*I313</f>
        <v>0</v>
      </c>
      <c r="K313" s="460" t="e">
        <f t="shared" ref="K313:K319" si="402">(J313/H313)-1</f>
        <v>#DIV/0!</v>
      </c>
      <c r="S313" s="46"/>
      <c r="T313"/>
    </row>
    <row r="314" spans="1:27" ht="15" customHeight="1">
      <c r="B314" s="53" t="str">
        <f t="shared" si="397"/>
        <v/>
      </c>
      <c r="C314" t="s">
        <v>853</v>
      </c>
      <c r="D314" s="493" t="s">
        <v>854</v>
      </c>
      <c r="E314" s="50">
        <f>E312</f>
        <v>0</v>
      </c>
      <c r="F314" s="131">
        <v>0</v>
      </c>
      <c r="G314" s="131">
        <f t="shared" si="398"/>
        <v>0</v>
      </c>
      <c r="H314" s="131">
        <f t="shared" si="399"/>
        <v>0</v>
      </c>
      <c r="I314" s="131">
        <f t="shared" si="400"/>
        <v>0</v>
      </c>
      <c r="J314" s="131">
        <f t="shared" si="401"/>
        <v>0</v>
      </c>
      <c r="K314" s="460" t="e">
        <f t="shared" si="402"/>
        <v>#DIV/0!</v>
      </c>
      <c r="N314" s="131">
        <f t="shared" ref="N314:N319" si="403">J314</f>
        <v>0</v>
      </c>
      <c r="S314" s="46"/>
      <c r="T314"/>
    </row>
    <row r="315" spans="1:27" ht="15" customHeight="1">
      <c r="B315" s="53" t="str">
        <f t="shared" si="397"/>
        <v/>
      </c>
      <c r="E315" s="50">
        <v>0</v>
      </c>
      <c r="F315" s="131">
        <v>100</v>
      </c>
      <c r="G315" s="131">
        <f t="shared" si="398"/>
        <v>100</v>
      </c>
      <c r="H315" s="131">
        <f t="shared" si="399"/>
        <v>0</v>
      </c>
      <c r="I315" s="131">
        <f t="shared" si="400"/>
        <v>125</v>
      </c>
      <c r="J315" s="131">
        <f t="shared" si="401"/>
        <v>0</v>
      </c>
      <c r="K315" s="460" t="e">
        <f t="shared" si="402"/>
        <v>#DIV/0!</v>
      </c>
      <c r="N315" s="131">
        <f t="shared" si="403"/>
        <v>0</v>
      </c>
    </row>
    <row r="316" spans="1:27" ht="15" customHeight="1">
      <c r="B316" s="53" t="str">
        <f t="shared" si="397"/>
        <v/>
      </c>
      <c r="E316" s="50">
        <v>0</v>
      </c>
      <c r="F316" s="131">
        <v>100</v>
      </c>
      <c r="G316" s="131">
        <f t="shared" si="398"/>
        <v>100</v>
      </c>
      <c r="H316" s="131">
        <f t="shared" si="399"/>
        <v>0</v>
      </c>
      <c r="I316" s="131">
        <f t="shared" si="400"/>
        <v>125</v>
      </c>
      <c r="J316" s="131">
        <f t="shared" si="401"/>
        <v>0</v>
      </c>
      <c r="K316" s="460" t="e">
        <f t="shared" si="402"/>
        <v>#DIV/0!</v>
      </c>
      <c r="N316" s="131">
        <f t="shared" si="403"/>
        <v>0</v>
      </c>
    </row>
    <row r="317" spans="1:27" ht="15" customHeight="1">
      <c r="B317" s="53" t="str">
        <f t="shared" si="397"/>
        <v/>
      </c>
      <c r="D317" t="s">
        <v>855</v>
      </c>
      <c r="E317" s="50">
        <v>0</v>
      </c>
      <c r="F317" s="131">
        <v>100</v>
      </c>
      <c r="G317" s="131">
        <f t="shared" si="398"/>
        <v>100</v>
      </c>
      <c r="H317" s="131">
        <f t="shared" si="399"/>
        <v>0</v>
      </c>
      <c r="I317" s="131">
        <f t="shared" si="400"/>
        <v>125</v>
      </c>
      <c r="J317" s="131">
        <f t="shared" si="401"/>
        <v>0</v>
      </c>
      <c r="K317" s="460" t="e">
        <f t="shared" si="402"/>
        <v>#DIV/0!</v>
      </c>
      <c r="N317" s="131">
        <f t="shared" si="403"/>
        <v>0</v>
      </c>
    </row>
    <row r="318" spans="1:27" ht="15" customHeight="1">
      <c r="B318" s="53" t="str">
        <f t="shared" si="397"/>
        <v/>
      </c>
      <c r="D318" t="s">
        <v>856</v>
      </c>
      <c r="E318" s="50">
        <v>0</v>
      </c>
      <c r="F318" s="131">
        <v>100</v>
      </c>
      <c r="G318" s="131">
        <f t="shared" si="398"/>
        <v>100</v>
      </c>
      <c r="H318" s="131">
        <f t="shared" si="399"/>
        <v>0</v>
      </c>
      <c r="I318" s="131">
        <f t="shared" si="400"/>
        <v>125</v>
      </c>
      <c r="J318" s="131">
        <f t="shared" si="401"/>
        <v>0</v>
      </c>
      <c r="K318" s="460" t="e">
        <f t="shared" si="402"/>
        <v>#DIV/0!</v>
      </c>
      <c r="N318" s="131">
        <f t="shared" si="403"/>
        <v>0</v>
      </c>
    </row>
    <row r="319" spans="1:27" ht="15" customHeight="1">
      <c r="B319" s="53" t="str">
        <f t="shared" si="397"/>
        <v/>
      </c>
      <c r="E319" s="50">
        <v>0</v>
      </c>
      <c r="F319" s="131">
        <v>100</v>
      </c>
      <c r="G319" s="131">
        <f t="shared" si="398"/>
        <v>100</v>
      </c>
      <c r="H319" s="131">
        <f t="shared" si="399"/>
        <v>0</v>
      </c>
      <c r="I319" s="131">
        <f t="shared" si="400"/>
        <v>125</v>
      </c>
      <c r="J319" s="131">
        <f t="shared" si="401"/>
        <v>0</v>
      </c>
      <c r="K319" s="460" t="e">
        <f t="shared" si="402"/>
        <v>#DIV/0!</v>
      </c>
      <c r="N319" s="131">
        <f t="shared" si="403"/>
        <v>0</v>
      </c>
    </row>
    <row r="320" spans="1:27" ht="15" customHeight="1">
      <c r="B320" s="53" t="str">
        <f t="shared" si="397"/>
        <v/>
      </c>
      <c r="C320" t="s">
        <v>857</v>
      </c>
      <c r="D320" t="s">
        <v>858</v>
      </c>
      <c r="E320" s="50">
        <v>0</v>
      </c>
      <c r="F320" s="131">
        <v>4395.49</v>
      </c>
      <c r="G320" s="131">
        <f t="shared" si="398"/>
        <v>4395.49</v>
      </c>
      <c r="H320" s="131">
        <f t="shared" si="399"/>
        <v>0</v>
      </c>
      <c r="I320" s="131">
        <f t="shared" si="400"/>
        <v>5494.36</v>
      </c>
      <c r="J320" s="131">
        <f t="shared" si="401"/>
        <v>0</v>
      </c>
      <c r="K320" s="460" t="e">
        <f t="shared" ref="K320:K321" si="404">(J320/H320)-1</f>
        <v>#DIV/0!</v>
      </c>
      <c r="M320" t="s">
        <v>859</v>
      </c>
      <c r="N320" s="131">
        <f>J320</f>
        <v>0</v>
      </c>
    </row>
    <row r="321" spans="2:21" ht="15" customHeight="1">
      <c r="B321" s="53" t="str">
        <f t="shared" si="397"/>
        <v/>
      </c>
      <c r="C321" t="s">
        <v>860</v>
      </c>
      <c r="D321" t="s">
        <v>861</v>
      </c>
      <c r="E321" s="50">
        <v>0</v>
      </c>
      <c r="F321" s="131">
        <v>310</v>
      </c>
      <c r="G321" s="131">
        <f t="shared" si="398"/>
        <v>310</v>
      </c>
      <c r="H321" s="131">
        <f t="shared" si="399"/>
        <v>0</v>
      </c>
      <c r="I321" s="131">
        <f t="shared" si="400"/>
        <v>387.5</v>
      </c>
      <c r="J321" s="131">
        <f t="shared" si="401"/>
        <v>0</v>
      </c>
      <c r="K321" s="460" t="e">
        <f t="shared" si="404"/>
        <v>#DIV/0!</v>
      </c>
      <c r="M321" t="s">
        <v>620</v>
      </c>
      <c r="N321" s="131">
        <f t="shared" ref="N321:N328" si="405">J321</f>
        <v>0</v>
      </c>
    </row>
    <row r="322" spans="2:21" ht="15" customHeight="1">
      <c r="B322" s="53" t="str">
        <f t="shared" si="397"/>
        <v/>
      </c>
      <c r="C322" s="372" t="s">
        <v>636</v>
      </c>
      <c r="D322" s="630" t="s">
        <v>637</v>
      </c>
      <c r="E322" s="50">
        <v>0</v>
      </c>
      <c r="F322" s="131">
        <v>32</v>
      </c>
      <c r="G322" s="131">
        <f t="shared" si="398"/>
        <v>32</v>
      </c>
      <c r="H322" s="131">
        <f t="shared" si="399"/>
        <v>0</v>
      </c>
      <c r="I322" s="131">
        <v>42</v>
      </c>
      <c r="J322" s="131">
        <f t="shared" si="401"/>
        <v>0</v>
      </c>
      <c r="K322" s="460" t="e">
        <f>(J322/H322)-1</f>
        <v>#DIV/0!</v>
      </c>
      <c r="M322" t="s">
        <v>862</v>
      </c>
      <c r="N322" s="131">
        <f t="shared" si="405"/>
        <v>0</v>
      </c>
    </row>
    <row r="323" spans="2:21" ht="15" customHeight="1">
      <c r="B323" s="53" t="str">
        <f t="shared" si="397"/>
        <v/>
      </c>
      <c r="C323" s="372" t="s">
        <v>638</v>
      </c>
      <c r="D323" s="630" t="s">
        <v>639</v>
      </c>
      <c r="E323" s="50">
        <v>0</v>
      </c>
      <c r="F323" s="131">
        <v>11.98</v>
      </c>
      <c r="G323" s="131">
        <f t="shared" si="398"/>
        <v>11.98</v>
      </c>
      <c r="H323" s="131">
        <f t="shared" si="399"/>
        <v>0</v>
      </c>
      <c r="I323" s="131">
        <f t="shared" si="400"/>
        <v>14.98</v>
      </c>
      <c r="J323" s="131">
        <f t="shared" si="401"/>
        <v>0</v>
      </c>
      <c r="K323" s="460" t="e">
        <f t="shared" ref="K323:K328" si="406">(J323/H323)-1</f>
        <v>#DIV/0!</v>
      </c>
      <c r="M323" t="s">
        <v>862</v>
      </c>
      <c r="N323" s="131">
        <f t="shared" si="405"/>
        <v>0</v>
      </c>
    </row>
    <row r="324" spans="2:21" ht="15" customHeight="1">
      <c r="B324" s="53" t="str">
        <f t="shared" si="397"/>
        <v/>
      </c>
      <c r="C324" s="366" t="s">
        <v>531</v>
      </c>
      <c r="D324" s="368" t="s">
        <v>532</v>
      </c>
      <c r="E324" s="50">
        <v>0</v>
      </c>
      <c r="F324" s="13">
        <v>2386</v>
      </c>
      <c r="G324" s="131">
        <f t="shared" si="398"/>
        <v>2386</v>
      </c>
      <c r="H324" s="131">
        <f t="shared" si="399"/>
        <v>0</v>
      </c>
      <c r="I324" s="131">
        <f t="shared" si="400"/>
        <v>2982.5</v>
      </c>
      <c r="J324" s="131">
        <f t="shared" si="401"/>
        <v>0</v>
      </c>
      <c r="K324" s="460" t="e">
        <f t="shared" si="406"/>
        <v>#DIV/0!</v>
      </c>
      <c r="M324" t="s">
        <v>449</v>
      </c>
      <c r="N324" s="131">
        <f t="shared" si="405"/>
        <v>0</v>
      </c>
    </row>
    <row r="325" spans="2:21" ht="15" customHeight="1">
      <c r="B325" s="53" t="str">
        <f t="shared" si="397"/>
        <v/>
      </c>
      <c r="C325">
        <v>303805</v>
      </c>
      <c r="D325" t="s">
        <v>863</v>
      </c>
      <c r="E325" s="50">
        <v>0</v>
      </c>
      <c r="F325" s="131">
        <v>2540</v>
      </c>
      <c r="G325" s="131">
        <f t="shared" si="398"/>
        <v>2540</v>
      </c>
      <c r="H325" s="131">
        <f t="shared" si="399"/>
        <v>0</v>
      </c>
      <c r="I325" s="131">
        <f t="shared" si="400"/>
        <v>3175</v>
      </c>
      <c r="J325" s="131">
        <f t="shared" si="401"/>
        <v>0</v>
      </c>
      <c r="K325" s="460" t="e">
        <f t="shared" si="406"/>
        <v>#DIV/0!</v>
      </c>
      <c r="M325" t="s">
        <v>620</v>
      </c>
      <c r="N325" s="131">
        <f t="shared" si="405"/>
        <v>0</v>
      </c>
    </row>
    <row r="326" spans="2:21" ht="15" customHeight="1">
      <c r="B326" s="53" t="str">
        <f t="shared" si="397"/>
        <v/>
      </c>
      <c r="E326" s="50">
        <v>0</v>
      </c>
      <c r="F326" s="131">
        <v>100</v>
      </c>
      <c r="G326" s="131">
        <f t="shared" si="398"/>
        <v>100</v>
      </c>
      <c r="H326" s="131">
        <f t="shared" si="399"/>
        <v>0</v>
      </c>
      <c r="I326" s="131">
        <f t="shared" si="400"/>
        <v>125</v>
      </c>
      <c r="J326" s="131">
        <f t="shared" si="401"/>
        <v>0</v>
      </c>
      <c r="K326" s="460" t="e">
        <f t="shared" si="406"/>
        <v>#DIV/0!</v>
      </c>
      <c r="N326" s="131">
        <f t="shared" si="405"/>
        <v>0</v>
      </c>
    </row>
    <row r="327" spans="2:21" ht="15" customHeight="1">
      <c r="B327" s="53" t="str">
        <f t="shared" si="397"/>
        <v/>
      </c>
      <c r="E327" s="50">
        <v>0</v>
      </c>
      <c r="F327" s="131">
        <v>100</v>
      </c>
      <c r="G327" s="131">
        <f t="shared" si="398"/>
        <v>100</v>
      </c>
      <c r="H327" s="131">
        <f t="shared" si="399"/>
        <v>0</v>
      </c>
      <c r="I327" s="131">
        <f t="shared" si="400"/>
        <v>125</v>
      </c>
      <c r="J327" s="131">
        <f t="shared" si="401"/>
        <v>0</v>
      </c>
      <c r="K327" s="460" t="e">
        <f t="shared" si="406"/>
        <v>#DIV/0!</v>
      </c>
      <c r="N327" s="131">
        <f t="shared" si="405"/>
        <v>0</v>
      </c>
      <c r="T327"/>
      <c r="U327" s="46"/>
    </row>
    <row r="328" spans="2:21" ht="15" customHeight="1">
      <c r="B328" s="53" t="str">
        <f t="shared" si="397"/>
        <v/>
      </c>
      <c r="C328" t="s">
        <v>864</v>
      </c>
      <c r="D328" t="s">
        <v>865</v>
      </c>
      <c r="E328" s="459">
        <v>0</v>
      </c>
      <c r="F328" s="273">
        <v>650</v>
      </c>
      <c r="G328" s="273">
        <f t="shared" si="398"/>
        <v>650</v>
      </c>
      <c r="H328" s="273">
        <f t="shared" si="399"/>
        <v>0</v>
      </c>
      <c r="I328" s="273">
        <f t="shared" si="400"/>
        <v>812.5</v>
      </c>
      <c r="J328" s="273">
        <f t="shared" si="401"/>
        <v>0</v>
      </c>
      <c r="K328" s="461" t="e">
        <f t="shared" si="406"/>
        <v>#DIV/0!</v>
      </c>
      <c r="L328" s="187"/>
      <c r="N328" s="131">
        <f t="shared" si="405"/>
        <v>0</v>
      </c>
      <c r="T328"/>
      <c r="U328" s="46"/>
    </row>
    <row r="329" spans="2:21" ht="15" customHeight="1">
      <c r="F329" s="462" t="s">
        <v>771</v>
      </c>
      <c r="L329" s="121">
        <f>SUM(L312:L328)</f>
        <v>0</v>
      </c>
      <c r="T329"/>
      <c r="U329" s="46"/>
    </row>
    <row r="330" spans="2:21" ht="15" customHeight="1">
      <c r="F330" s="192" t="s">
        <v>643</v>
      </c>
      <c r="H330" s="131">
        <f>SUM(H312:H328)</f>
        <v>0</v>
      </c>
    </row>
    <row r="331" spans="2:21" ht="15" customHeight="1">
      <c r="F331" s="192" t="s">
        <v>644</v>
      </c>
      <c r="J331" s="131">
        <f>SUM(J312:J328)</f>
        <v>0</v>
      </c>
    </row>
  </sheetData>
  <sortState xmlns:xlrd2="http://schemas.microsoft.com/office/spreadsheetml/2017/richdata2" ref="B5:M179">
    <sortCondition ref="C5:C179"/>
  </sortState>
  <mergeCells count="16">
    <mergeCell ref="A310:F310"/>
    <mergeCell ref="A300:F300"/>
    <mergeCell ref="A181:F181"/>
    <mergeCell ref="A50:F50"/>
    <mergeCell ref="A38:F38"/>
    <mergeCell ref="A258:F258"/>
    <mergeCell ref="A72:A85"/>
    <mergeCell ref="R32:S32"/>
    <mergeCell ref="S2:Z2"/>
    <mergeCell ref="W15:X15"/>
    <mergeCell ref="A3:F3"/>
    <mergeCell ref="Q258:X258"/>
    <mergeCell ref="Q230:X230"/>
    <mergeCell ref="A229:F229"/>
    <mergeCell ref="W14:X14"/>
    <mergeCell ref="A86:A99"/>
  </mergeCells>
  <phoneticPr fontId="10" type="noConversion"/>
  <conditionalFormatting sqref="E36:F37">
    <cfRule type="duplicateValues" dxfId="91" priority="103"/>
  </conditionalFormatting>
  <conditionalFormatting sqref="E48:F49">
    <cfRule type="duplicateValues" dxfId="90" priority="102"/>
  </conditionalFormatting>
  <conditionalFormatting sqref="E68:F68">
    <cfRule type="expression" dxfId="89" priority="101">
      <formula>$E$68=$F$68</formula>
    </cfRule>
  </conditionalFormatting>
  <conditionalFormatting sqref="E69:F69">
    <cfRule type="expression" dxfId="88" priority="100">
      <formula>$E$69=$F$69</formula>
    </cfRule>
  </conditionalFormatting>
  <conditionalFormatting sqref="E70:F70">
    <cfRule type="expression" dxfId="87" priority="99">
      <formula>$E$70=$F$70</formula>
    </cfRule>
  </conditionalFormatting>
  <conditionalFormatting sqref="Y15:Y16">
    <cfRule type="cellIs" dxfId="86" priority="57" operator="lessThan">
      <formula>-0.01</formula>
    </cfRule>
  </conditionalFormatting>
  <conditionalFormatting sqref="F148:F151">
    <cfRule type="expression" dxfId="85" priority="54">
      <formula>$E$148&lt;$F$148</formula>
    </cfRule>
  </conditionalFormatting>
  <conditionalFormatting sqref="F108:F109">
    <cfRule type="expression" dxfId="84" priority="53">
      <formula>$E$108&gt;$F$108</formula>
    </cfRule>
  </conditionalFormatting>
  <conditionalFormatting sqref="E108:F109">
    <cfRule type="expression" dxfId="83" priority="45">
      <formula>$E$108=$F$108</formula>
    </cfRule>
  </conditionalFormatting>
  <conditionalFormatting sqref="F148:F151">
    <cfRule type="expression" dxfId="82" priority="40">
      <formula>$E$148=$F$148</formula>
    </cfRule>
  </conditionalFormatting>
  <conditionalFormatting sqref="F68">
    <cfRule type="expression" dxfId="81" priority="37">
      <formula>$E$68&gt;$F$68</formula>
    </cfRule>
    <cfRule type="expression" dxfId="80" priority="38">
      <formula>$E$68&lt;$F$68</formula>
    </cfRule>
  </conditionalFormatting>
  <conditionalFormatting sqref="F69">
    <cfRule type="expression" dxfId="79" priority="36">
      <formula>$E$69&gt;$F$69</formula>
    </cfRule>
  </conditionalFormatting>
  <conditionalFormatting sqref="F69">
    <cfRule type="expression" dxfId="78" priority="35">
      <formula>$E$69&lt;$F$69</formula>
    </cfRule>
  </conditionalFormatting>
  <conditionalFormatting sqref="W12:Y12">
    <cfRule type="cellIs" dxfId="77" priority="26" operator="greaterThanOrEqual">
      <formula>0.5</formula>
    </cfRule>
  </conditionalFormatting>
  <conditionalFormatting sqref="W12:Y12">
    <cfRule type="cellIs" dxfId="76" priority="25" operator="lessThanOrEqual">
      <formula>0.499999</formula>
    </cfRule>
  </conditionalFormatting>
  <conditionalFormatting sqref="Z12">
    <cfRule type="cellIs" dxfId="75" priority="24" operator="lessThan">
      <formula>0</formula>
    </cfRule>
  </conditionalFormatting>
  <conditionalFormatting sqref="Z12">
    <cfRule type="cellIs" dxfId="74" priority="23" operator="greaterThanOrEqual">
      <formula>0</formula>
    </cfRule>
  </conditionalFormatting>
  <conditionalFormatting sqref="W13:Y13 Y14">
    <cfRule type="cellIs" dxfId="73" priority="22" operator="lessThan">
      <formula>-0.01</formula>
    </cfRule>
  </conditionalFormatting>
  <conditionalFormatting sqref="F141:F143">
    <cfRule type="expression" dxfId="72" priority="109">
      <formula>#REF!=#REF!</formula>
    </cfRule>
  </conditionalFormatting>
  <conditionalFormatting sqref="F5:F12 F14:F21 F23:F27 F30:F35">
    <cfRule type="expression" dxfId="71" priority="21">
      <formula>E5&lt;&gt;F5</formula>
    </cfRule>
  </conditionalFormatting>
  <conditionalFormatting sqref="F5:F12 F14:F21 F23:F27 F30:F35">
    <cfRule type="expression" dxfId="70" priority="20">
      <formula>E5=F5</formula>
    </cfRule>
  </conditionalFormatting>
  <conditionalFormatting sqref="F39:F47">
    <cfRule type="expression" dxfId="69" priority="19">
      <formula>E39&lt;&gt;F39</formula>
    </cfRule>
  </conditionalFormatting>
  <conditionalFormatting sqref="F39:F47">
    <cfRule type="expression" dxfId="68" priority="18">
      <formula>E39=F39</formula>
    </cfRule>
  </conditionalFormatting>
  <conditionalFormatting sqref="E72:F99">
    <cfRule type="expression" dxfId="67" priority="110">
      <formula>#REF!=#REF!</formula>
    </cfRule>
  </conditionalFormatting>
  <dataValidations disablePrompts="1" count="2">
    <dataValidation type="list" allowBlank="1" showInputMessage="1" showErrorMessage="1" sqref="J1" xr:uid="{59CCF933-3B67-477C-87B9-48B74AD00971}">
      <formula1>Fabricator</formula1>
    </dataValidation>
    <dataValidation type="list" allowBlank="1" showInputMessage="1" showErrorMessage="1" sqref="F28:F29" xr:uid="{3A237024-1ACD-4509-A365-E1113C50ABA8}">
      <formula1>"0,2,4,6"</formula1>
    </dataValidation>
  </dataValidations>
  <hyperlinks>
    <hyperlink ref="C130" r:id="rId1" xr:uid="{DEBA1795-F230-45EB-9AA4-09D00EB2A41F}"/>
    <hyperlink ref="C132" r:id="rId2" xr:uid="{5804DF0F-4A62-4700-B988-527D2E7ECFAC}"/>
    <hyperlink ref="C133" r:id="rId3" xr:uid="{7A016162-FA1D-4A91-9F0D-6C011EA36929}"/>
    <hyperlink ref="C59" r:id="rId4" xr:uid="{4CF64374-E351-42BF-9793-0632F6BE9661}"/>
    <hyperlink ref="C134" r:id="rId5" xr:uid="{8C598B6B-96A9-4470-B00B-7BD254247194}"/>
    <hyperlink ref="C135" r:id="rId6" xr:uid="{B9E35E3F-4BE7-4398-A6AB-0E0CE0FAB1E8}"/>
    <hyperlink ref="C136" r:id="rId7" xr:uid="{C0ED7CF7-B419-42B5-B807-ED14743C190F}"/>
    <hyperlink ref="C139" r:id="rId8" xr:uid="{DD4B6187-126F-49B2-B939-81364214141D}"/>
    <hyperlink ref="C140" r:id="rId9" xr:uid="{45A2D2F4-6E2F-4011-81DE-55294DB7B8E2}"/>
    <hyperlink ref="C144" r:id="rId10" xr:uid="{F7F09EA0-7260-404B-9C65-4FFFBF045F53}"/>
    <hyperlink ref="C138" r:id="rId11" xr:uid="{98AC3CB2-6FC7-4E68-939E-ED4FCC7EA112}"/>
    <hyperlink ref="C146" r:id="rId12" xr:uid="{A8926739-9EC5-44DD-8649-A5999E67CCA8}"/>
    <hyperlink ref="C147" r:id="rId13" xr:uid="{630D64FC-DD41-4FD2-85E7-44DCD0DA03E2}"/>
    <hyperlink ref="C148" r:id="rId14" display="ZIP LINE KIT" xr:uid="{737E4D37-76E6-4C68-99D3-2BA02CE70808}"/>
    <hyperlink ref="C152" r:id="rId15" xr:uid="{2E059254-4D0A-4B54-960C-895D7D29EE3C}"/>
    <hyperlink ref="C153" r:id="rId16" display="120040" xr:uid="{84C27A46-6D41-4DA5-AFC5-E0136B4F228B}"/>
    <hyperlink ref="C154" r:id="rId17" display="120050" xr:uid="{72862BD1-2A6D-4D35-BCE3-AAF17196733C}"/>
    <hyperlink ref="C268" r:id="rId18" xr:uid="{633302FF-CFAA-4206-B030-3E1E408B0B5E}"/>
    <hyperlink ref="C303" r:id="rId19" xr:uid="{83F868DB-97C7-4536-A1D2-01C0DA17D900}"/>
    <hyperlink ref="C175" r:id="rId20" display="914752" xr:uid="{A6DA6C62-740D-4138-93C1-CE92309B2A17}"/>
  </hyperlinks>
  <pageMargins left="0.7" right="0.7" top="0.75" bottom="0.75" header="0.3" footer="0.3"/>
  <pageSetup orientation="portrait" r:id="rId21"/>
  <legacyDrawing r:id="rId22"/>
  <extLst>
    <ext xmlns:x14="http://schemas.microsoft.com/office/spreadsheetml/2009/9/main" uri="{78C0D931-6437-407d-A8EE-F0AAD7539E65}">
      <x14:conditionalFormattings>
        <x14:conditionalFormatting xmlns:xm="http://schemas.microsoft.com/office/excel/2006/main">
          <x14:cfRule type="expression" priority="106" id="{06D93A6E-67FA-432F-9C0E-E56D61DC29FF}">
            <xm:f>Discovery!$B$37&lt;96</xm:f>
            <x14:dxf>
              <fill>
                <patternFill patternType="solid">
                  <bgColor theme="1" tint="0.499984740745262"/>
                </patternFill>
              </fill>
            </x14:dxf>
          </x14:cfRule>
          <xm:sqref>B13:D13 M13 H13:K13 L129 L66:L67 B5:D6 G5:M6 L7:L35</xm:sqref>
        </x14:conditionalFormatting>
        <x14:conditionalFormatting xmlns:xm="http://schemas.microsoft.com/office/excel/2006/main">
          <x14:cfRule type="expression" priority="104" id="{AE3744FD-46E6-4EF5-A2B3-50ED8B4C6F4B}">
            <xm:f>Discovery!$B$27="No"</xm:f>
            <x14:dxf>
              <fill>
                <patternFill patternType="solid">
                  <bgColor theme="0" tint="-0.34998626667073579"/>
                </patternFill>
              </fill>
            </x14:dxf>
          </x14:cfRule>
          <xm:sqref>G100:M102 G103 M103 C72:D85 C86:C99 J72:M99 R72:Z103 O72:P103 C100:D103 AA72:XFD106 Q72:Q107 F72:H99</xm:sqref>
        </x14:conditionalFormatting>
        <x14:conditionalFormatting xmlns:xm="http://schemas.microsoft.com/office/excel/2006/main">
          <x14:cfRule type="expression" priority="73" id="{69B6CAB7-A562-4031-A147-8AD34B0F8EE6}">
            <xm:f>Discovery!$B$37&lt;96</xm:f>
            <x14:dxf>
              <fill>
                <patternFill patternType="solid">
                  <bgColor theme="1" tint="0.499984740745262"/>
                </patternFill>
              </fill>
            </x14:dxf>
          </x14:cfRule>
          <xm:sqref>L39:L47</xm:sqref>
        </x14:conditionalFormatting>
        <x14:conditionalFormatting xmlns:xm="http://schemas.microsoft.com/office/excel/2006/main">
          <x14:cfRule type="expression" priority="72" id="{A99090A4-F890-4394-85CC-0A7869B18F6E}">
            <xm:f>Discovery!$B$37&lt;96</xm:f>
            <x14:dxf>
              <fill>
                <patternFill patternType="solid">
                  <bgColor theme="1" tint="0.499984740745262"/>
                </patternFill>
              </fill>
            </x14:dxf>
          </x14:cfRule>
          <xm:sqref>L61:L65</xm:sqref>
        </x14:conditionalFormatting>
        <x14:conditionalFormatting xmlns:xm="http://schemas.microsoft.com/office/excel/2006/main">
          <x14:cfRule type="expression" priority="70" id="{066A8975-D205-4457-9E98-84D20C2422A3}">
            <xm:f>Discovery!$B$37&lt;96</xm:f>
            <x14:dxf>
              <fill>
                <patternFill patternType="solid">
                  <bgColor theme="1" tint="0.499984740745262"/>
                </patternFill>
              </fill>
            </x14:dxf>
          </x14:cfRule>
          <xm:sqref>L71</xm:sqref>
        </x14:conditionalFormatting>
        <x14:conditionalFormatting xmlns:xm="http://schemas.microsoft.com/office/excel/2006/main">
          <x14:cfRule type="expression" priority="69" id="{4E307942-836E-415E-A7F6-4CCC53DF4590}">
            <xm:f>Discovery!$B$37&lt;96</xm:f>
            <x14:dxf>
              <fill>
                <patternFill patternType="solid">
                  <bgColor theme="1" tint="0.499984740745262"/>
                </patternFill>
              </fill>
            </x14:dxf>
          </x14:cfRule>
          <xm:sqref>L139</xm:sqref>
        </x14:conditionalFormatting>
        <x14:conditionalFormatting xmlns:xm="http://schemas.microsoft.com/office/excel/2006/main">
          <x14:cfRule type="expression" priority="68" id="{B52FE223-3DA6-40B4-98AF-452B9F40D97D}">
            <xm:f>Discovery!$B$37&lt;96</xm:f>
            <x14:dxf>
              <fill>
                <patternFill patternType="solid">
                  <bgColor theme="1" tint="0.499984740745262"/>
                </patternFill>
              </fill>
            </x14:dxf>
          </x14:cfRule>
          <xm:sqref>L140</xm:sqref>
        </x14:conditionalFormatting>
        <x14:conditionalFormatting xmlns:xm="http://schemas.microsoft.com/office/excel/2006/main">
          <x14:cfRule type="expression" priority="66" id="{BB74B8DF-8F6D-4D9C-B664-B686DC315EE8}">
            <xm:f>Discovery!$B$37&lt;96</xm:f>
            <x14:dxf>
              <fill>
                <patternFill patternType="solid">
                  <bgColor theme="1" tint="0.499984740745262"/>
                </patternFill>
              </fill>
            </x14:dxf>
          </x14:cfRule>
          <xm:sqref>L141:L145</xm:sqref>
        </x14:conditionalFormatting>
        <x14:conditionalFormatting xmlns:xm="http://schemas.microsoft.com/office/excel/2006/main">
          <x14:cfRule type="expression" priority="65" id="{8C00DFB7-F710-4224-BAB9-B34D9C993FF2}">
            <xm:f>Discovery!$B$37&lt;96</xm:f>
            <x14:dxf>
              <fill>
                <patternFill patternType="solid">
                  <bgColor theme="1" tint="0.499984740745262"/>
                </patternFill>
              </fill>
            </x14:dxf>
          </x14:cfRule>
          <xm:sqref>L146</xm:sqref>
        </x14:conditionalFormatting>
        <x14:conditionalFormatting xmlns:xm="http://schemas.microsoft.com/office/excel/2006/main">
          <x14:cfRule type="expression" priority="64" id="{68F46EF6-5FEB-4EFB-B1CB-B6CDC54F4830}">
            <xm:f>Discovery!$B$37&lt;96</xm:f>
            <x14:dxf>
              <fill>
                <patternFill patternType="solid">
                  <bgColor theme="1" tint="0.499984740745262"/>
                </patternFill>
              </fill>
            </x14:dxf>
          </x14:cfRule>
          <xm:sqref>L147</xm:sqref>
        </x14:conditionalFormatting>
        <x14:conditionalFormatting xmlns:xm="http://schemas.microsoft.com/office/excel/2006/main">
          <x14:cfRule type="expression" priority="63" id="{13BCB677-07FD-4956-8195-E0FC74D257CC}">
            <xm:f>Discovery!$B$37&lt;96</xm:f>
            <x14:dxf>
              <fill>
                <patternFill patternType="solid">
                  <bgColor theme="1" tint="0.499984740745262"/>
                </patternFill>
              </fill>
            </x14:dxf>
          </x14:cfRule>
          <xm:sqref>L148:L152</xm:sqref>
        </x14:conditionalFormatting>
        <x14:conditionalFormatting xmlns:xm="http://schemas.microsoft.com/office/excel/2006/main">
          <x14:cfRule type="expression" priority="62" id="{4F669359-CC94-44BA-AAB4-D2FF3D29384A}">
            <xm:f>Discovery!$B$37&lt;96</xm:f>
            <x14:dxf>
              <fill>
                <patternFill patternType="solid">
                  <bgColor theme="1" tint="0.499984740745262"/>
                </patternFill>
              </fill>
            </x14:dxf>
          </x14:cfRule>
          <xm:sqref>L183:L219</xm:sqref>
        </x14:conditionalFormatting>
        <x14:conditionalFormatting xmlns:xm="http://schemas.microsoft.com/office/excel/2006/main">
          <x14:cfRule type="expression" priority="27" id="{39179270-4416-46E7-A79D-8A305B8EE7AD}">
            <xm:f>Discovery!$B$37&lt;96</xm:f>
            <x14:dxf>
              <fill>
                <patternFill patternType="solid">
                  <bgColor theme="1" tint="0.499984740745262"/>
                </patternFill>
              </fill>
            </x14:dxf>
          </x14:cfRule>
          <xm:sqref>L56:L57</xm:sqref>
        </x14:conditionalFormatting>
        <x14:conditionalFormatting xmlns:xm="http://schemas.microsoft.com/office/excel/2006/main">
          <x14:cfRule type="expression" priority="17" id="{6D5C4A7B-7005-4D11-B7D2-071DD3EBF203}">
            <xm:f>Discovery!$B$37&lt;96</xm:f>
            <x14:dxf>
              <fill>
                <patternFill patternType="solid">
                  <bgColor theme="1" tint="0.499984740745262"/>
                </patternFill>
              </fill>
            </x14:dxf>
          </x14:cfRule>
          <xm:sqref>L160</xm:sqref>
        </x14:conditionalFormatting>
        <x14:conditionalFormatting xmlns:xm="http://schemas.microsoft.com/office/excel/2006/main">
          <x14:cfRule type="expression" priority="15" id="{F1BEFAF4-6690-4102-B23A-DD784066CB46}">
            <xm:f>Discovery!$B$37&lt;96</xm:f>
            <x14:dxf>
              <fill>
                <patternFill patternType="solid">
                  <bgColor theme="1" tint="0.499984740745262"/>
                </patternFill>
              </fill>
            </x14:dxf>
          </x14:cfRule>
          <xm:sqref>L115:L123</xm:sqref>
        </x14:conditionalFormatting>
        <x14:conditionalFormatting xmlns:xm="http://schemas.microsoft.com/office/excel/2006/main">
          <x14:cfRule type="expression" priority="14" id="{9A0DA8B5-DE7E-4292-953F-ECE445C2B89B}">
            <xm:f>Discovery!$B$27="No"</xm:f>
            <x14:dxf>
              <fill>
                <patternFill patternType="solid">
                  <bgColor theme="0" tint="-0.34998626667073579"/>
                </patternFill>
              </fill>
            </x14:dxf>
          </x14:cfRule>
          <xm:sqref>L153:L159</xm:sqref>
        </x14:conditionalFormatting>
        <x14:conditionalFormatting xmlns:xm="http://schemas.microsoft.com/office/excel/2006/main">
          <x14:cfRule type="expression" priority="13" id="{EE2756B4-1490-4772-8550-BB2E3A2D0A45}">
            <xm:f>Discovery!$B$37&lt;96</xm:f>
            <x14:dxf>
              <fill>
                <patternFill patternType="solid">
                  <bgColor theme="1" tint="0.499984740745262"/>
                </patternFill>
              </fill>
            </x14:dxf>
          </x14:cfRule>
          <xm:sqref>L127:L128</xm:sqref>
        </x14:conditionalFormatting>
        <x14:conditionalFormatting xmlns:xm="http://schemas.microsoft.com/office/excel/2006/main">
          <x14:cfRule type="expression" priority="12" id="{BD6DFA23-52CD-40C8-B188-B71FBE875C5B}">
            <xm:f>Discovery!$B$37&lt;96</xm:f>
            <x14:dxf>
              <fill>
                <patternFill patternType="solid">
                  <bgColor theme="1" tint="0.499984740745262"/>
                </patternFill>
              </fill>
            </x14:dxf>
          </x14:cfRule>
          <xm:sqref>L130</xm:sqref>
        </x14:conditionalFormatting>
        <x14:conditionalFormatting xmlns:xm="http://schemas.microsoft.com/office/excel/2006/main">
          <x14:cfRule type="expression" priority="11" id="{73411783-CDE6-4E34-A093-FBF79F5E7202}">
            <xm:f>Discovery!$B$37&lt;96</xm:f>
            <x14:dxf>
              <fill>
                <patternFill patternType="solid">
                  <bgColor theme="1" tint="0.499984740745262"/>
                </patternFill>
              </fill>
            </x14:dxf>
          </x14:cfRule>
          <xm:sqref>L132</xm:sqref>
        </x14:conditionalFormatting>
        <x14:conditionalFormatting xmlns:xm="http://schemas.microsoft.com/office/excel/2006/main">
          <x14:cfRule type="expression" priority="10" id="{3205C570-4296-4C17-972F-EEEAE97DD55C}">
            <xm:f>Discovery!$B$37&lt;96</xm:f>
            <x14:dxf>
              <fill>
                <patternFill patternType="solid">
                  <bgColor theme="1" tint="0.499984740745262"/>
                </patternFill>
              </fill>
            </x14:dxf>
          </x14:cfRule>
          <xm:sqref>L133</xm:sqref>
        </x14:conditionalFormatting>
        <x14:conditionalFormatting xmlns:xm="http://schemas.microsoft.com/office/excel/2006/main">
          <x14:cfRule type="expression" priority="9" id="{E13A328D-E410-44CC-AB85-B53D607972F3}">
            <xm:f>Discovery!$B$37&lt;96</xm:f>
            <x14:dxf>
              <fill>
                <patternFill patternType="solid">
                  <bgColor theme="1" tint="0.499984740745262"/>
                </patternFill>
              </fill>
            </x14:dxf>
          </x14:cfRule>
          <xm:sqref>L134</xm:sqref>
        </x14:conditionalFormatting>
        <x14:conditionalFormatting xmlns:xm="http://schemas.microsoft.com/office/excel/2006/main">
          <x14:cfRule type="expression" priority="8" id="{53E3E1A9-1BC8-416E-BE0D-467D2FCB05D6}">
            <xm:f>Discovery!$B$37&lt;96</xm:f>
            <x14:dxf>
              <fill>
                <patternFill patternType="solid">
                  <bgColor theme="1" tint="0.499984740745262"/>
                </patternFill>
              </fill>
            </x14:dxf>
          </x14:cfRule>
          <xm:sqref>L135</xm:sqref>
        </x14:conditionalFormatting>
        <x14:conditionalFormatting xmlns:xm="http://schemas.microsoft.com/office/excel/2006/main">
          <x14:cfRule type="expression" priority="7" id="{2710500D-BD5B-4343-9F6F-C903B6E30ADB}">
            <xm:f>Discovery!$B$37&lt;96</xm:f>
            <x14:dxf>
              <fill>
                <patternFill patternType="solid">
                  <bgColor theme="1" tint="0.499984740745262"/>
                </patternFill>
              </fill>
            </x14:dxf>
          </x14:cfRule>
          <xm:sqref>L136</xm:sqref>
        </x14:conditionalFormatting>
        <x14:conditionalFormatting xmlns:xm="http://schemas.microsoft.com/office/excel/2006/main">
          <x14:cfRule type="expression" priority="6" id="{3BFEB425-E565-4BB4-A011-1B389E16488C}">
            <xm:f>Discovery!$B$37&lt;96</xm:f>
            <x14:dxf>
              <fill>
                <patternFill patternType="solid">
                  <bgColor theme="1" tint="0.499984740745262"/>
                </patternFill>
              </fill>
            </x14:dxf>
          </x14:cfRule>
          <xm:sqref>L137</xm:sqref>
        </x14:conditionalFormatting>
        <x14:conditionalFormatting xmlns:xm="http://schemas.microsoft.com/office/excel/2006/main">
          <x14:cfRule type="expression" priority="5" id="{0445F815-C087-47D0-8E19-F7788CDE71BC}">
            <xm:f>Discovery!$B$37&lt;96</xm:f>
            <x14:dxf>
              <fill>
                <patternFill patternType="solid">
                  <bgColor theme="1" tint="0.499984740745262"/>
                </patternFill>
              </fill>
            </x14:dxf>
          </x14:cfRule>
          <xm:sqref>L138</xm:sqref>
        </x14:conditionalFormatting>
        <x14:conditionalFormatting xmlns:xm="http://schemas.microsoft.com/office/excel/2006/main">
          <x14:cfRule type="expression" priority="4" id="{406EF093-552B-4326-958C-E062183E5DDE}">
            <xm:f>Discovery!$B$27="No"</xm:f>
            <x14:dxf>
              <fill>
                <patternFill patternType="solid">
                  <bgColor theme="0" tint="-0.34998626667073579"/>
                </patternFill>
              </fill>
            </x14:dxf>
          </x14:cfRule>
          <xm:sqref>L161</xm:sqref>
        </x14:conditionalFormatting>
        <x14:conditionalFormatting xmlns:xm="http://schemas.microsoft.com/office/excel/2006/main">
          <x14:cfRule type="expression" priority="3" id="{439C6942-8D1C-4A3A-9618-EC687EC4E928}">
            <xm:f>Discovery!$B$27="No"</xm:f>
            <x14:dxf>
              <fill>
                <patternFill patternType="solid">
                  <bgColor theme="0" tint="-0.34998626667073579"/>
                </patternFill>
              </fill>
            </x14:dxf>
          </x14:cfRule>
          <xm:sqref>L162</xm:sqref>
        </x14:conditionalFormatting>
        <x14:conditionalFormatting xmlns:xm="http://schemas.microsoft.com/office/excel/2006/main">
          <x14:cfRule type="expression" priority="2" id="{3D4596AD-A6E3-45DE-A772-03A2AB9E47E2}">
            <xm:f>Discovery!$B$27="No"</xm:f>
            <x14:dxf>
              <fill>
                <patternFill patternType="solid">
                  <bgColor theme="0" tint="-0.34998626667073579"/>
                </patternFill>
              </fill>
            </x14:dxf>
          </x14:cfRule>
          <xm:sqref>L163:L166</xm:sqref>
        </x14:conditionalFormatting>
        <x14:conditionalFormatting xmlns:xm="http://schemas.microsoft.com/office/excel/2006/main">
          <x14:cfRule type="expression" priority="1" id="{C7B08F3E-0582-4653-9260-616D445EDCD8}">
            <xm:f>Discovery!$B$27="No"</xm:f>
            <x14:dxf>
              <fill>
                <patternFill patternType="solid">
                  <bgColor theme="0" tint="-0.34998626667073579"/>
                </patternFill>
              </fill>
            </x14:dxf>
          </x14:cfRule>
          <xm:sqref>L174:L175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ECBD8-C57D-4C2E-AC2B-7D315BC70F21}">
  <sheetPr codeName="Sheet9">
    <tabColor rgb="FFFFC000"/>
    <pageSetUpPr fitToPage="1"/>
  </sheetPr>
  <dimension ref="A4:G109"/>
  <sheetViews>
    <sheetView topLeftCell="A53" zoomScale="85" zoomScaleNormal="85" workbookViewId="0">
      <selection activeCell="F96" sqref="F96"/>
    </sheetView>
  </sheetViews>
  <sheetFormatPr defaultRowHeight="15"/>
  <cols>
    <col min="1" max="1" width="25.28515625" bestFit="1" customWidth="1"/>
    <col min="2" max="2" width="61.28515625" bestFit="1" customWidth="1"/>
    <col min="3" max="3" width="11.7109375" customWidth="1"/>
    <col min="4" max="4" width="22.85546875" bestFit="1" customWidth="1"/>
    <col min="5" max="7" width="11.7109375" customWidth="1"/>
  </cols>
  <sheetData>
    <row r="4" spans="1:7" ht="29.25" thickBot="1">
      <c r="A4" s="862" t="s">
        <v>866</v>
      </c>
      <c r="B4" s="862"/>
      <c r="C4" s="862"/>
      <c r="D4" s="862"/>
      <c r="E4" s="862"/>
      <c r="F4" s="862"/>
      <c r="G4" s="862"/>
    </row>
    <row r="5" spans="1:7">
      <c r="A5" s="115" t="s">
        <v>867</v>
      </c>
      <c r="B5" s="109" t="str">
        <f>Discovery!B3</f>
        <v>Soar Autism Center - South Fort Collins</v>
      </c>
      <c r="C5" s="109"/>
      <c r="D5" s="109"/>
      <c r="E5" s="109"/>
      <c r="F5" s="109"/>
      <c r="G5" s="109"/>
    </row>
    <row r="6" spans="1:7">
      <c r="A6" s="115" t="s">
        <v>868</v>
      </c>
      <c r="B6" s="110">
        <f ca="1">TODAY()</f>
        <v>46225</v>
      </c>
      <c r="C6" s="109"/>
      <c r="D6" s="109"/>
      <c r="E6" s="109"/>
      <c r="F6" s="109"/>
      <c r="G6" s="109"/>
    </row>
    <row r="7" spans="1:7">
      <c r="A7" s="115" t="s">
        <v>869</v>
      </c>
      <c r="B7" t="str">
        <f>Discovery!B2</f>
        <v>Tyler Galiotto</v>
      </c>
    </row>
    <row r="8" spans="1:7">
      <c r="A8" s="46"/>
      <c r="B8" t="str">
        <f>Discovery!B3</f>
        <v>Soar Autism Center - South Fort Collins</v>
      </c>
    </row>
    <row r="9" spans="1:7">
      <c r="A9" s="46"/>
      <c r="B9" t="str">
        <f>Discovery!B7</f>
        <v>3801 Automation Way</v>
      </c>
    </row>
    <row r="10" spans="1:7">
      <c r="A10" s="46"/>
      <c r="B10" t="str">
        <f>Discovery!B8&amp;" "&amp;Discovery!B9</f>
        <v>Fort Collins, CO 80525</v>
      </c>
    </row>
    <row r="11" spans="1:7">
      <c r="A11" s="115" t="s">
        <v>24</v>
      </c>
      <c r="B11" s="545" t="str">
        <f>Discovery!B11</f>
        <v>5203895979</v>
      </c>
    </row>
    <row r="12" spans="1:7">
      <c r="A12" s="115" t="s">
        <v>870</v>
      </c>
      <c r="B12" t="str">
        <f>Discovery!B12</f>
        <v/>
      </c>
    </row>
    <row r="13" spans="1:7">
      <c r="A13" s="115" t="s">
        <v>871</v>
      </c>
      <c r="B13" s="53" t="str">
        <f>CEILING(SUM(E18:E45)+5,10)&amp;" (STEEL) LBS"&amp;IF(Calcs!F47&gt;0," + "&amp;CEILING(SUM(Calcs!I41:I47),5)&amp;" (TROLLEY) LBS"&amp;" ="&amp;(CEILING(SUM(E18:E45)+5,10)+CEILING(SUM(Calcs!I41:I47),5))&amp;" TOTAL","")&amp;" **DOESN'T INCLUDE HARDWARE OR CRATING**"</f>
        <v>930 (STEEL) LBS + 70 (TROLLEY) LBS =1000 TOTAL **DOESN'T INCLUDE HARDWARE OR CRATING**</v>
      </c>
    </row>
    <row r="14" spans="1:7">
      <c r="A14" s="115" t="s">
        <v>872</v>
      </c>
      <c r="B14" s="117" t="str">
        <f>Discovery!B19</f>
        <v>TBD</v>
      </c>
    </row>
    <row r="15" spans="1:7">
      <c r="A15" s="115" t="s">
        <v>873</v>
      </c>
      <c r="B15" t="s">
        <v>874</v>
      </c>
    </row>
    <row r="16" spans="1:7">
      <c r="A16" s="115" t="s">
        <v>875</v>
      </c>
      <c r="B16" s="121" t="str">
        <f>Discovery!B44</f>
        <v>Cardinal</v>
      </c>
    </row>
    <row r="17" spans="1:7" ht="45.75" thickBot="1">
      <c r="A17" s="111" t="s">
        <v>876</v>
      </c>
      <c r="B17" s="112" t="s">
        <v>877</v>
      </c>
      <c r="C17" s="113" t="s">
        <v>878</v>
      </c>
      <c r="D17" s="113" t="s">
        <v>879</v>
      </c>
      <c r="E17" s="113" t="s">
        <v>880</v>
      </c>
      <c r="F17" s="114" t="s">
        <v>881</v>
      </c>
      <c r="G17" s="114" t="s">
        <v>882</v>
      </c>
    </row>
    <row r="18" spans="1:7">
      <c r="A18" s="53" t="s">
        <v>178</v>
      </c>
      <c r="B18" s="53" t="str">
        <f>VLOOKUP(A18,Calcs!C5:D35,2,FALSE)</f>
        <v>Vertical Tall &lt;80 w/Gusset</v>
      </c>
      <c r="C18" s="1">
        <f>VLOOKUP(A18,Calcs!$C$5:$F$260,4,FALSE)</f>
        <v>2</v>
      </c>
      <c r="D18" s="120" t="str">
        <f>Discovery!B47</f>
        <v>CHANGEME</v>
      </c>
      <c r="E18" s="1">
        <f>(VLOOKUP(A18,Calcs!$C$5:$O$298,13,FALSE))*C18</f>
        <v>136.5</v>
      </c>
      <c r="F18" s="775">
        <f>VLOOKUP(A18,lists!I:L,4,FALSE)</f>
        <v>242.5</v>
      </c>
      <c r="G18" s="776">
        <f>C18*F18</f>
        <v>485</v>
      </c>
    </row>
    <row r="19" spans="1:7">
      <c r="A19" s="53" t="s">
        <v>181</v>
      </c>
      <c r="B19" s="53" t="str">
        <f>VLOOKUP(A19,Calcs!C6:D40,2,FALSE)</f>
        <v>Vertical Tall &lt;80 w/Gussets, Rungs &amp; Handles</v>
      </c>
      <c r="C19" s="1">
        <f>VLOOKUP(A19,Calcs!$C$5:$F$260,4,FALSE)</f>
        <v>2</v>
      </c>
      <c r="D19" s="120" t="str">
        <f>Discovery!B47</f>
        <v>CHANGEME</v>
      </c>
      <c r="E19" s="1">
        <f>(VLOOKUP(A19,Calcs!$C$5:$O$298,13,FALSE))*C19</f>
        <v>134.58000000000001</v>
      </c>
      <c r="F19" s="775">
        <f>VLOOKUP(A19,lists!I:L,4,FALSE)</f>
        <v>242.5</v>
      </c>
      <c r="G19" s="776">
        <f t="shared" ref="G19:G51" si="0">C19*F19</f>
        <v>485</v>
      </c>
    </row>
    <row r="20" spans="1:7">
      <c r="A20" s="53" t="s">
        <v>184</v>
      </c>
      <c r="B20" s="53" t="str">
        <f>VLOOKUP(A20,Calcs!C7:D42,2,FALSE)</f>
        <v>Corner Post &lt;80 1-Way Weld Assembly</v>
      </c>
      <c r="C20" s="1">
        <f>VLOOKUP(A20,Calcs!$C$5:$F$260,4,FALSE)</f>
        <v>0</v>
      </c>
      <c r="D20" s="120" t="str">
        <f>Discovery!B48</f>
        <v>CHANGEME</v>
      </c>
      <c r="E20" s="1">
        <f>(VLOOKUP(A20,Calcs!$C$5:$O$298,13,FALSE))*C20</f>
        <v>0</v>
      </c>
      <c r="F20" s="775">
        <f>VLOOKUP(A20,lists!I:L,4,FALSE)</f>
        <v>73</v>
      </c>
      <c r="G20" s="776">
        <f t="shared" si="0"/>
        <v>0</v>
      </c>
    </row>
    <row r="21" spans="1:7">
      <c r="A21" s="53" t="s">
        <v>187</v>
      </c>
      <c r="B21" s="53" t="str">
        <f>VLOOKUP(A21,Calcs!C8:D43,2,FALSE)</f>
        <v>Corner Post &lt;80 2-Way Weld Assembly</v>
      </c>
      <c r="C21" s="1">
        <f>VLOOKUP(A21,Calcs!$C$5:$F$260,4,FALSE)</f>
        <v>4</v>
      </c>
      <c r="D21" s="120" t="str">
        <f>Discovery!B48</f>
        <v>CHANGEME</v>
      </c>
      <c r="E21" s="1">
        <f>(VLOOKUP(A21,Calcs!$C$5:$O$298,13,FALSE))*C21</f>
        <v>59.728000000000002</v>
      </c>
      <c r="F21" s="775">
        <f>VLOOKUP(A21,lists!I:L,4,FALSE)</f>
        <v>76.5</v>
      </c>
      <c r="G21" s="776">
        <f t="shared" si="0"/>
        <v>306</v>
      </c>
    </row>
    <row r="22" spans="1:7">
      <c r="A22" s="53" t="s">
        <v>190</v>
      </c>
      <c r="B22" s="53" t="str">
        <f>VLOOKUP(A22,Calcs!C9:D44,2,FALSE)</f>
        <v>Corner Post &lt;80 3-Way Weld Assembly</v>
      </c>
      <c r="C22" s="1">
        <f>VLOOKUP(A22,Calcs!$C$5:$F$260,4,FALSE)</f>
        <v>0</v>
      </c>
      <c r="D22" s="120" t="str">
        <f>Discovery!B48</f>
        <v>CHANGEME</v>
      </c>
      <c r="E22" s="1">
        <f>(VLOOKUP(A22,Calcs!$C$5:$O$298,13,FALSE))*C22</f>
        <v>0</v>
      </c>
      <c r="F22" s="775">
        <f>VLOOKUP(A22,lists!I:L,4,FALSE)</f>
        <v>97</v>
      </c>
      <c r="G22" s="776">
        <f t="shared" si="0"/>
        <v>0</v>
      </c>
    </row>
    <row r="23" spans="1:7">
      <c r="A23" s="53" t="s">
        <v>192</v>
      </c>
      <c r="B23" s="53" t="str">
        <f>VLOOKUP(A23,Calcs!C10:D45,2,FALSE)</f>
        <v>Corner Post &lt;80 4-Way Weld Assembly</v>
      </c>
      <c r="C23" s="1">
        <f>VLOOKUP(A23,Calcs!$C$5:$F$260,4,FALSE)</f>
        <v>0</v>
      </c>
      <c r="D23" s="120" t="str">
        <f>Discovery!B48</f>
        <v>CHANGEME</v>
      </c>
      <c r="E23" s="1">
        <f>(VLOOKUP(A23,Calcs!$C$5:$O$298,13,FALSE))*C23</f>
        <v>0</v>
      </c>
      <c r="F23" s="775">
        <f>VLOOKUP(A23,lists!I:L,4,FALSE)</f>
        <v>101</v>
      </c>
      <c r="G23" s="776">
        <f t="shared" si="0"/>
        <v>0</v>
      </c>
    </row>
    <row r="24" spans="1:7">
      <c r="A24" s="53" t="s">
        <v>194</v>
      </c>
      <c r="B24" s="53" t="str">
        <f>VLOOKUP(A24,Calcs!C12:D46,2,FALSE)</f>
        <v>Mid Span 1-Way Saddle Alt Weld Assembly</v>
      </c>
      <c r="C24" s="1">
        <f>VLOOKUP(A24,Calcs!$C$5:$F$260,4,FALSE)</f>
        <v>4</v>
      </c>
      <c r="D24" s="120" t="str">
        <f>Discovery!B48</f>
        <v>CHANGEME</v>
      </c>
      <c r="E24" s="1">
        <f>(VLOOKUP(A24,Calcs!$C$5:$O$298,13,FALSE))*C24</f>
        <v>25.84</v>
      </c>
      <c r="F24" s="775">
        <f>VLOOKUP(A24,lists!I:L,4,FALSE)</f>
        <v>46</v>
      </c>
      <c r="G24" s="776">
        <f t="shared" si="0"/>
        <v>184</v>
      </c>
    </row>
    <row r="25" spans="1:7">
      <c r="A25" s="53" t="s">
        <v>196</v>
      </c>
      <c r="B25" s="53" t="str">
        <f>VLOOKUP(A25,Calcs!C13:D47,2,FALSE)</f>
        <v>Ladder Leg Footless</v>
      </c>
      <c r="C25" s="1">
        <f>VLOOKUP(A25,Calcs!$C$5:$F$260,4,FALSE)</f>
        <v>2</v>
      </c>
      <c r="D25" s="120" t="str">
        <f>Discovery!B49</f>
        <v>CHANGEME</v>
      </c>
      <c r="E25" s="1">
        <f>(VLOOKUP(A25,Calcs!$C$5:$O$298,13,FALSE))*C25</f>
        <v>61.82</v>
      </c>
      <c r="F25" s="775">
        <f>VLOOKUP(A25,lists!I:L,4,FALSE)</f>
        <v>97.5</v>
      </c>
      <c r="G25" s="776">
        <f t="shared" si="0"/>
        <v>195</v>
      </c>
    </row>
    <row r="26" spans="1:7">
      <c r="A26" s="53" t="s">
        <v>198</v>
      </c>
      <c r="B26" s="53" t="str">
        <f>VLOOKUP(A26,Calcs!C14:D59,2,FALSE)</f>
        <v>Single Leg Inner Ladder Sleeve Footless Weld Assembly</v>
      </c>
      <c r="C26" s="1">
        <f>VLOOKUP(A26,Calcs!$C$5:$F$260,4,FALSE)</f>
        <v>2</v>
      </c>
      <c r="D26" s="120" t="str">
        <f>Discovery!B49</f>
        <v>CHANGEME</v>
      </c>
      <c r="E26" s="1">
        <f>(VLOOKUP(A26,Calcs!$C$5:$O$298,13,FALSE))*C26</f>
        <v>8.98</v>
      </c>
      <c r="F26" s="775">
        <f>VLOOKUP(A26,lists!I:L,4,FALSE)</f>
        <v>65.5</v>
      </c>
      <c r="G26" s="776">
        <f t="shared" si="0"/>
        <v>131</v>
      </c>
    </row>
    <row r="27" spans="1:7">
      <c r="A27" s="53" t="s">
        <v>200</v>
      </c>
      <c r="B27" s="53" t="str">
        <f>VLOOKUP(A27,Calcs!C15:D60,2,FALSE)</f>
        <v>Double Leg Inner Ladder Sleeve</v>
      </c>
      <c r="C27" s="1">
        <f>VLOOKUP(A27,Calcs!$C$5:$F$260,4,FALSE)</f>
        <v>0</v>
      </c>
      <c r="D27" s="120" t="str">
        <f>Discovery!B49</f>
        <v>CHANGEME</v>
      </c>
      <c r="E27" s="1">
        <f>(VLOOKUP(A27,Calcs!$C$5:$O$298,13,FALSE))*C27</f>
        <v>0</v>
      </c>
      <c r="F27" s="775">
        <f>VLOOKUP(A27,lists!I:L,4,FALSE)</f>
        <v>79</v>
      </c>
      <c r="G27" s="776">
        <f t="shared" si="0"/>
        <v>0</v>
      </c>
    </row>
    <row r="28" spans="1:7">
      <c r="A28" s="53" t="s">
        <v>205</v>
      </c>
      <c r="B28" s="74" t="s">
        <v>883</v>
      </c>
      <c r="C28" s="1">
        <f>VLOOKUP(A28,Calcs!$C$5:$F$260,4,FALSE)</f>
        <v>0</v>
      </c>
      <c r="D28" s="120" t="str">
        <f>Discovery!B48</f>
        <v>CHANGEME</v>
      </c>
      <c r="E28" s="1">
        <f>(VLOOKUP(A28,Calcs!$C$5:$O$298,13,FALSE))*C28</f>
        <v>0</v>
      </c>
      <c r="F28" s="775">
        <f>VLOOKUP(A28,lists!I:L,4,FALSE)</f>
        <v>150</v>
      </c>
      <c r="G28" s="776">
        <f t="shared" ref="G28" si="1">C28*F28</f>
        <v>0</v>
      </c>
    </row>
    <row r="29" spans="1:7">
      <c r="A29" s="53" t="s">
        <v>884</v>
      </c>
      <c r="B29" s="74" t="s">
        <v>370</v>
      </c>
      <c r="C29" s="1">
        <f>VLOOKUP(A29,Calcs!$C$5:$F$260,4,FALSE)</f>
        <v>0</v>
      </c>
      <c r="D29" s="120" t="str">
        <f>Discovery!B48</f>
        <v>CHANGEME</v>
      </c>
      <c r="E29" s="1">
        <f>(VLOOKUP(A29,Calcs!$C$5:$O$298,13,FALSE))*C29</f>
        <v>0</v>
      </c>
      <c r="F29" s="775">
        <f>VLOOKUP(A29,lists!I:L,4,FALSE)</f>
        <v>150</v>
      </c>
      <c r="G29" s="776">
        <f>C29*F29</f>
        <v>0</v>
      </c>
    </row>
    <row r="30" spans="1:7">
      <c r="A30" s="53" t="s">
        <v>210</v>
      </c>
      <c r="B30" s="53" t="str">
        <f>VLOOKUP(A30,Calcs!C19:D61,2,FALSE)</f>
        <v>8' Half Bay &lt;80 HSS Member w/Splices &amp; HDWE</v>
      </c>
      <c r="C30" s="1">
        <f>VLOOKUP(A30,Calcs!$C$5:$F$260,4,FALSE)</f>
        <v>0</v>
      </c>
      <c r="D30" s="120" t="str">
        <f>Discovery!B48</f>
        <v>CHANGEME</v>
      </c>
      <c r="E30" s="1">
        <f>(VLOOKUP(A30,Calcs!$C$5:$O$298,13,FALSE))*C30</f>
        <v>0</v>
      </c>
      <c r="F30" s="775">
        <f>VLOOKUP(A30,lists!I:L,4,FALSE)</f>
        <v>190</v>
      </c>
      <c r="G30" s="776">
        <f t="shared" si="0"/>
        <v>0</v>
      </c>
    </row>
    <row r="31" spans="1:7">
      <c r="A31" s="53" t="s">
        <v>213</v>
      </c>
      <c r="B31" s="53" t="str">
        <f>VLOOKUP(A31,Calcs!C20:D68,2,FALSE)</f>
        <v>9' Half Bay &lt;80 HSS Member w/Splices &amp; HDWE</v>
      </c>
      <c r="C31" s="1">
        <f>VLOOKUP(A31,Calcs!$C$5:$F$260,4,FALSE)</f>
        <v>0</v>
      </c>
      <c r="D31" s="120" t="str">
        <f>Discovery!B48</f>
        <v>CHANGEME</v>
      </c>
      <c r="E31" s="1">
        <f>(VLOOKUP(A31,Calcs!$C$5:$O$298,13,FALSE))*C31</f>
        <v>0</v>
      </c>
      <c r="F31" s="775">
        <f>VLOOKUP(A31,lists!I:L,4,FALSE)</f>
        <v>200</v>
      </c>
      <c r="G31" s="776">
        <f t="shared" si="0"/>
        <v>0</v>
      </c>
    </row>
    <row r="32" spans="1:7">
      <c r="A32" s="53" t="s">
        <v>216</v>
      </c>
      <c r="B32" s="53" t="str">
        <f>VLOOKUP(A32,Calcs!C21:D71,2,FALSE)</f>
        <v>10' Half Bay &lt;80 HSS Member w/Splices &amp; HDWE</v>
      </c>
      <c r="C32" s="1">
        <f>VLOOKUP(A32,Calcs!$C$5:$F$260,4,FALSE)</f>
        <v>4</v>
      </c>
      <c r="D32" s="120" t="str">
        <f>Discovery!B48</f>
        <v>CHANGEME</v>
      </c>
      <c r="E32" s="1">
        <f>(VLOOKUP(A32,Calcs!$C$5:$O$298,13,FALSE))*C32</f>
        <v>271.60000000000002</v>
      </c>
      <c r="F32" s="775">
        <f>VLOOKUP(A32,lists!I:L,4,FALSE)</f>
        <v>200</v>
      </c>
      <c r="G32" s="776">
        <f t="shared" si="0"/>
        <v>800</v>
      </c>
    </row>
    <row r="33" spans="1:7">
      <c r="A33" s="53" t="s">
        <v>218</v>
      </c>
      <c r="B33" s="53" t="str">
        <f>VLOOKUP(A33,Calcs!C22:D71,2,FALSE)</f>
        <v>Monkey Bar / Ladder Rungs w/ 4 Threaded Holes</v>
      </c>
      <c r="C33" s="1">
        <f>VLOOKUP(A33,Calcs!$C$5:$F$260,4,FALSE)</f>
        <v>19</v>
      </c>
      <c r="D33" s="120" t="str">
        <f>Discovery!B49</f>
        <v>CHANGEME</v>
      </c>
      <c r="E33" s="1">
        <f>(VLOOKUP(A33,Calcs!$C$5:$O$298,13,FALSE))*C33</f>
        <v>45.410000000000004</v>
      </c>
      <c r="F33" s="775">
        <f>VLOOKUP(A33,lists!I:L,4,FALSE)</f>
        <v>20.5</v>
      </c>
      <c r="G33" s="776">
        <f t="shared" si="0"/>
        <v>389.5</v>
      </c>
    </row>
    <row r="34" spans="1:7">
      <c r="A34" s="53" t="s">
        <v>229</v>
      </c>
      <c r="B34" s="53" t="str">
        <f>VLOOKUP(A34,Calcs!C25:D71,2,FALSE)</f>
        <v>8' Half Bay Monkey Bar HSS Member w/ Logo</v>
      </c>
      <c r="C34" s="1">
        <f>VLOOKUP(A34,Calcs!$C$5:$F$260,4,FALSE)</f>
        <v>0</v>
      </c>
      <c r="D34" s="120" t="str">
        <f>Discovery!B48</f>
        <v>CHANGEME</v>
      </c>
      <c r="E34" s="1">
        <f>(VLOOKUP(A34,Calcs!$C$5:$O$298,13,FALSE))*C34</f>
        <v>0</v>
      </c>
      <c r="F34" s="775">
        <f>VLOOKUP(A34,lists!I:L,4,FALSE)</f>
        <v>190</v>
      </c>
      <c r="G34" s="776">
        <f t="shared" si="0"/>
        <v>0</v>
      </c>
    </row>
    <row r="35" spans="1:7">
      <c r="A35" s="53" t="s">
        <v>232</v>
      </c>
      <c r="B35" s="53" t="str">
        <f>VLOOKUP(A35,Calcs!C26:D104,2,FALSE)</f>
        <v>9' Half Bay &lt;80 Monkey Bar HSS w/Splices &amp; HDWE</v>
      </c>
      <c r="C35" s="1">
        <f>VLOOKUP(A35,Calcs!$C$5:$F$260,4,FALSE)</f>
        <v>0</v>
      </c>
      <c r="D35" s="120" t="str">
        <f>Discovery!B48</f>
        <v>CHANGEME</v>
      </c>
      <c r="E35" s="1">
        <f>(VLOOKUP(A35,Calcs!$C$5:$O$298,13,FALSE))*C35</f>
        <v>0</v>
      </c>
      <c r="F35" s="775">
        <f>VLOOKUP(A35,lists!I:L,4,FALSE)</f>
        <v>200</v>
      </c>
      <c r="G35" s="776">
        <f t="shared" si="0"/>
        <v>0</v>
      </c>
    </row>
    <row r="36" spans="1:7">
      <c r="A36" s="53" t="s">
        <v>235</v>
      </c>
      <c r="B36" s="53" t="str">
        <f>VLOOKUP(A36,Calcs!C27:D105,2,FALSE)</f>
        <v>10' Half Bay &lt;80 Monkey Bar HSS w/Splices &amp; HDWE</v>
      </c>
      <c r="C36" s="1">
        <f>VLOOKUP(A36,Calcs!$C$5:$F$260,4,FALSE)</f>
        <v>2</v>
      </c>
      <c r="D36" s="120" t="str">
        <f>Discovery!B48</f>
        <v>CHANGEME</v>
      </c>
      <c r="E36" s="1">
        <f>(VLOOKUP(A36,Calcs!$C$5:$O$298,13,FALSE))*C36</f>
        <v>132.44</v>
      </c>
      <c r="F36" s="775">
        <f>VLOOKUP(A36,lists!I:L,4,FALSE)</f>
        <v>200</v>
      </c>
      <c r="G36" s="776">
        <f t="shared" si="0"/>
        <v>400</v>
      </c>
    </row>
    <row r="37" spans="1:7">
      <c r="A37" s="53" t="s">
        <v>238</v>
      </c>
      <c r="B37" s="53" t="str">
        <f>VLOOKUP(A37,Calcs!C28:D130,2,FALSE)</f>
        <v>Zip Line HSS Tube</v>
      </c>
      <c r="C37" s="1">
        <f>VLOOKUP(A37,Calcs!$C$5:$F$260,4,FALSE)</f>
        <v>0</v>
      </c>
      <c r="D37" s="120" t="str">
        <f>Discovery!B48</f>
        <v>CHANGEME</v>
      </c>
      <c r="E37" s="1">
        <f>(VLOOKUP(A37,Calcs!$C$5:$O$298,13,FALSE))*C37</f>
        <v>0</v>
      </c>
      <c r="F37" s="775">
        <f>VLOOKUP(A37,lists!I:L,4,FALSE)</f>
        <v>20</v>
      </c>
      <c r="G37" s="776">
        <f t="shared" si="0"/>
        <v>0</v>
      </c>
    </row>
    <row r="38" spans="1:7">
      <c r="A38" s="53" t="s">
        <v>392</v>
      </c>
      <c r="B38" s="53" t="s">
        <v>885</v>
      </c>
      <c r="C38" s="1">
        <f>VLOOKUP(A38,Calcs!$C$5:$F$260,4,FALSE)</f>
        <v>0</v>
      </c>
      <c r="D38" s="120" t="str">
        <f>Discovery!B48</f>
        <v>CHANGEME</v>
      </c>
      <c r="E38" s="1">
        <f>(VLOOKUP(A38,Calcs!$C$5:$O$298,13,FALSE))*C38</f>
        <v>0</v>
      </c>
      <c r="F38" s="775">
        <f>VLOOKUP(A38,lists!I:L,4,FALSE)</f>
        <v>53</v>
      </c>
      <c r="G38" s="776">
        <f t="shared" ref="G38" si="2">C38*F38</f>
        <v>0</v>
      </c>
    </row>
    <row r="39" spans="1:7">
      <c r="A39" s="53" t="s">
        <v>394</v>
      </c>
      <c r="B39" s="53" t="str">
        <f>VLOOKUP(A39,Calcs!C30:D132,2,FALSE)</f>
        <v>Quick Shift Saddle Bracket™</v>
      </c>
      <c r="C39" s="1">
        <f>VLOOKUP(A39,Calcs!$C$5:$F$260,4,FALSE)</f>
        <v>4</v>
      </c>
      <c r="D39" s="120" t="str">
        <f>Discovery!B49</f>
        <v>CHANGEME</v>
      </c>
      <c r="E39" s="1">
        <f>(VLOOKUP(A39,Calcs!$C$5:$O$298,13,FALSE))*C39</f>
        <v>19.32</v>
      </c>
      <c r="F39" s="775">
        <f>VLOOKUP(A39,lists!I:L,4,FALSE)</f>
        <v>51</v>
      </c>
      <c r="G39" s="776">
        <f t="shared" si="0"/>
        <v>204</v>
      </c>
    </row>
    <row r="40" spans="1:7">
      <c r="A40" s="53" t="s">
        <v>241</v>
      </c>
      <c r="B40" s="53" t="str">
        <f>VLOOKUP(A40,Calcs!C31:D133,2,FALSE)</f>
        <v>Base Plate Shield</v>
      </c>
      <c r="C40" s="1">
        <f>VLOOKUP(A40,Calcs!$C$5:$F$260,4,FALSE)</f>
        <v>8</v>
      </c>
      <c r="D40" s="120" t="str">
        <f>Discovery!B47</f>
        <v>CHANGEME</v>
      </c>
      <c r="E40" s="1">
        <f>(VLOOKUP(A40,Calcs!$C$5:$O$298,13,FALSE))*C40</f>
        <v>22.48</v>
      </c>
      <c r="F40" s="775">
        <f>VLOOKUP(A40,lists!I:L,4,FALSE)</f>
        <v>25</v>
      </c>
      <c r="G40" s="776">
        <f t="shared" si="0"/>
        <v>200</v>
      </c>
    </row>
    <row r="41" spans="1:7">
      <c r="A41" s="53" t="s">
        <v>397</v>
      </c>
      <c r="B41" s="53" t="s">
        <v>886</v>
      </c>
      <c r="C41" s="1">
        <f>VLOOKUP(A41,Calcs!$C$5:$F$260,4,FALSE)</f>
        <v>0</v>
      </c>
      <c r="D41" s="120" t="str">
        <f>Discovery!B48</f>
        <v>CHANGEME</v>
      </c>
      <c r="E41" s="1">
        <f>(VLOOKUP(A41,Calcs!$C$5:$O$298,13,FALSE))*C41</f>
        <v>0</v>
      </c>
      <c r="F41" s="775">
        <f>VLOOKUP(A41,lists!I:L,4,FALSE)</f>
        <v>52</v>
      </c>
      <c r="G41" s="776">
        <f t="shared" ref="G41:G43" si="3">C41*F41</f>
        <v>0</v>
      </c>
    </row>
    <row r="42" spans="1:7">
      <c r="A42" s="53" t="s">
        <v>400</v>
      </c>
      <c r="B42" s="53" t="s">
        <v>887</v>
      </c>
      <c r="C42" s="1">
        <f>VLOOKUP(A42,Calcs!$C$5:$F$260,4,FALSE)</f>
        <v>0</v>
      </c>
      <c r="D42" s="120" t="str">
        <f>Discovery!B48</f>
        <v>CHANGEME</v>
      </c>
      <c r="E42" s="1">
        <f>(VLOOKUP(A42,Calcs!$C$5:$O$298,13,FALSE))*C42</f>
        <v>0</v>
      </c>
      <c r="F42" s="775">
        <f>VLOOKUP(A42,lists!I:L,4,FALSE)</f>
        <v>52</v>
      </c>
      <c r="G42" s="776">
        <f t="shared" si="3"/>
        <v>0</v>
      </c>
    </row>
    <row r="43" spans="1:7">
      <c r="A43" s="53" t="s">
        <v>402</v>
      </c>
      <c r="B43" s="53" t="s">
        <v>888</v>
      </c>
      <c r="C43" s="1">
        <f>VLOOKUP(A43,Calcs!$C$5:$F$260,4,FALSE)</f>
        <v>0</v>
      </c>
      <c r="D43" s="120" t="str">
        <f>Discovery!B48</f>
        <v>CHANGEME</v>
      </c>
      <c r="E43" s="1">
        <f>(VLOOKUP(A43,Calcs!$C$5:$O$298,13,FALSE))*C43</f>
        <v>0</v>
      </c>
      <c r="F43" s="775">
        <f>VLOOKUP(A43,lists!I:L,4,FALSE)</f>
        <v>52</v>
      </c>
      <c r="G43" s="776">
        <f t="shared" si="3"/>
        <v>0</v>
      </c>
    </row>
    <row r="44" spans="1:7">
      <c r="A44" s="53" t="s">
        <v>250</v>
      </c>
      <c r="B44" s="53" t="str">
        <f>VLOOKUP(A44,Calcs!C35:D134,2,FALSE)</f>
        <v>Trolley Bar</v>
      </c>
      <c r="C44" s="1">
        <f>VLOOKUP(A44,Calcs!$C$5:$F$260,4,FALSE)</f>
        <v>1</v>
      </c>
      <c r="D44" s="120" t="str">
        <f>Discovery!B49</f>
        <v>CHANGEME</v>
      </c>
      <c r="E44" s="1">
        <f>(VLOOKUP(A44,Calcs!$C$5:$O$298,13,FALSE))*C44</f>
        <v>2.27</v>
      </c>
      <c r="F44" s="775">
        <f>VLOOKUP(A44,lists!I:L,4,FALSE)</f>
        <v>14</v>
      </c>
      <c r="G44" s="776">
        <f t="shared" si="0"/>
        <v>14</v>
      </c>
    </row>
    <row r="45" spans="1:7">
      <c r="A45" s="53" t="s">
        <v>253</v>
      </c>
      <c r="B45" s="53" t="str">
        <f>VLOOKUP(A45,Calcs!C39:D135,2,FALSE)</f>
        <v>Trolley Bar Plate</v>
      </c>
      <c r="C45" s="1">
        <f>VLOOKUP(A45,Calcs!$C$5:$F$260,4,FALSE)</f>
        <v>2</v>
      </c>
      <c r="D45" s="120" t="str">
        <f>Discovery!B49</f>
        <v>CHANGEME</v>
      </c>
      <c r="E45" s="1">
        <f>(VLOOKUP(A45,Calcs!$C$5:$O$298,13,FALSE))*C45</f>
        <v>0.59399999999999997</v>
      </c>
      <c r="F45" s="775">
        <f>VLOOKUP(A45,lists!I:L,4,FALSE)</f>
        <v>12</v>
      </c>
      <c r="G45" s="776">
        <f t="shared" si="0"/>
        <v>24</v>
      </c>
    </row>
    <row r="46" spans="1:7">
      <c r="A46" s="53" t="s">
        <v>415</v>
      </c>
      <c r="B46" s="53" t="s">
        <v>889</v>
      </c>
      <c r="C46" s="1">
        <f>Calcs!F51+Calcs!F52</f>
        <v>0</v>
      </c>
      <c r="D46" s="120" t="str">
        <f>Discovery!B50</f>
        <v>CHANGEME</v>
      </c>
      <c r="E46" s="1">
        <f>(VLOOKUP(A46,Calcs!$C$5:$O$298,13,FALSE))*C46</f>
        <v>0</v>
      </c>
      <c r="F46" s="775">
        <f>Calcs!G51</f>
        <v>252</v>
      </c>
      <c r="G46" s="776">
        <f t="shared" si="0"/>
        <v>0</v>
      </c>
    </row>
    <row r="47" spans="1:7">
      <c r="A47" s="53" t="s">
        <v>890</v>
      </c>
      <c r="B47" s="53" t="s">
        <v>891</v>
      </c>
      <c r="C47" s="1">
        <f>Calcs!F51</f>
        <v>0</v>
      </c>
      <c r="D47" s="120"/>
      <c r="E47" s="1"/>
      <c r="F47" s="775">
        <v>0</v>
      </c>
      <c r="G47" s="776">
        <v>0</v>
      </c>
    </row>
    <row r="48" spans="1:7">
      <c r="A48" s="53" t="s">
        <v>892</v>
      </c>
      <c r="B48" s="53" t="s">
        <v>893</v>
      </c>
      <c r="C48" s="1">
        <f>Calcs!F52</f>
        <v>0</v>
      </c>
      <c r="D48" s="120"/>
      <c r="E48" s="1"/>
      <c r="F48" s="775">
        <v>0</v>
      </c>
      <c r="G48" s="776">
        <v>0</v>
      </c>
    </row>
    <row r="49" spans="1:7">
      <c r="A49" s="53" t="s">
        <v>433</v>
      </c>
      <c r="B49" s="53" t="s">
        <v>894</v>
      </c>
      <c r="C49" s="1">
        <f>Calcs!F61</f>
        <v>0</v>
      </c>
      <c r="D49" s="120" t="str">
        <f>Discovery!B51</f>
        <v>CHANGEME</v>
      </c>
      <c r="E49" s="1">
        <f>(VLOOKUP(A49,Calcs!$C$5:$O$298,13,FALSE))*C49</f>
        <v>0</v>
      </c>
      <c r="F49" s="775">
        <f>Calcs!G61</f>
        <v>825</v>
      </c>
      <c r="G49" s="776">
        <f t="shared" si="0"/>
        <v>0</v>
      </c>
    </row>
    <row r="50" spans="1:7">
      <c r="A50" s="53" t="s">
        <v>435</v>
      </c>
      <c r="B50" s="53" t="s">
        <v>895</v>
      </c>
      <c r="C50" s="1">
        <f>Calcs!F62</f>
        <v>1</v>
      </c>
      <c r="D50" s="120" t="str">
        <f>Discovery!B51</f>
        <v>CHANGEME</v>
      </c>
      <c r="E50" s="1">
        <f>(VLOOKUP(A50,Calcs!$C$5:$O$298,13,FALSE))*C50</f>
        <v>241</v>
      </c>
      <c r="F50" s="775">
        <f>Calcs!G62</f>
        <v>1062</v>
      </c>
      <c r="G50" s="776">
        <f t="shared" ref="G50" si="4">C50*F50</f>
        <v>1062</v>
      </c>
    </row>
    <row r="51" spans="1:7">
      <c r="A51" s="53" t="s">
        <v>427</v>
      </c>
      <c r="B51" s="53" t="s">
        <v>896</v>
      </c>
      <c r="C51" s="1">
        <f>VLOOKUP(A51,Calcs!C:K,4,FALSE)</f>
        <v>0</v>
      </c>
      <c r="D51" s="120" t="str">
        <f>Discovery!B49</f>
        <v>CHANGEME</v>
      </c>
      <c r="E51" s="1">
        <f>(VLOOKUP(A51,Calcs!$C$5:$O$298,13,FALSE))*C51</f>
        <v>0</v>
      </c>
      <c r="F51" s="775">
        <f>VLOOKUP(A51,lists!I:M,4,FALSE)</f>
        <v>81</v>
      </c>
      <c r="G51" s="776">
        <f t="shared" si="0"/>
        <v>0</v>
      </c>
    </row>
    <row r="52" spans="1:7">
      <c r="A52" t="s">
        <v>649</v>
      </c>
      <c r="B52" s="107" t="s">
        <v>897</v>
      </c>
      <c r="C52" s="108">
        <f>Calcs!F183</f>
        <v>4</v>
      </c>
      <c r="D52" s="108"/>
      <c r="E52" s="108"/>
      <c r="F52" s="777">
        <f>VLOOKUP(A52,lists!I:L,4,FALSE)</f>
        <v>15</v>
      </c>
      <c r="G52" s="777">
        <f>C52*F52</f>
        <v>60</v>
      </c>
    </row>
    <row r="53" spans="1:7">
      <c r="A53" t="s">
        <v>651</v>
      </c>
      <c r="B53" s="107" t="s">
        <v>652</v>
      </c>
      <c r="C53" s="108">
        <f>Calcs!F184</f>
        <v>17</v>
      </c>
      <c r="D53" s="108"/>
      <c r="E53" s="108"/>
      <c r="F53" s="777">
        <f>VLOOKUP(A53,lists!I:L,4,FALSE)</f>
        <v>2.75</v>
      </c>
      <c r="G53" s="777">
        <f t="shared" ref="G53:G102" si="5">C53*F53</f>
        <v>46.75</v>
      </c>
    </row>
    <row r="54" spans="1:7">
      <c r="A54" t="s">
        <v>653</v>
      </c>
      <c r="B54" s="107" t="s">
        <v>898</v>
      </c>
      <c r="C54" s="108">
        <f>Calcs!F185</f>
        <v>4</v>
      </c>
      <c r="D54" s="108"/>
      <c r="E54" s="108"/>
      <c r="F54" s="777">
        <v>2</v>
      </c>
      <c r="G54" s="777">
        <f t="shared" si="5"/>
        <v>8</v>
      </c>
    </row>
    <row r="55" spans="1:7">
      <c r="A55" t="s">
        <v>655</v>
      </c>
      <c r="B55" s="107" t="s">
        <v>899</v>
      </c>
      <c r="C55" s="108">
        <f>Calcs!F186</f>
        <v>0</v>
      </c>
      <c r="D55" s="108"/>
      <c r="E55" s="108"/>
      <c r="F55" s="777">
        <f>VLOOKUP(A55,lists!I:L,4,FALSE)</f>
        <v>6</v>
      </c>
      <c r="G55" s="777">
        <f t="shared" si="5"/>
        <v>0</v>
      </c>
    </row>
    <row r="56" spans="1:7">
      <c r="A56" t="s">
        <v>657</v>
      </c>
      <c r="B56" s="107" t="s">
        <v>900</v>
      </c>
      <c r="C56" s="108">
        <f>Calcs!F187</f>
        <v>12</v>
      </c>
      <c r="D56" s="108"/>
      <c r="E56" s="108"/>
      <c r="F56" s="777">
        <f>VLOOKUP(A56,lists!I:L,4,FALSE)</f>
        <v>8.9499999999999993</v>
      </c>
      <c r="G56" s="777">
        <f t="shared" si="5"/>
        <v>107.39999999999999</v>
      </c>
    </row>
    <row r="57" spans="1:7">
      <c r="A57" t="s">
        <v>661</v>
      </c>
      <c r="B57" s="107" t="s">
        <v>901</v>
      </c>
      <c r="C57" s="108">
        <f>Calcs!F189</f>
        <v>2</v>
      </c>
      <c r="D57" s="108"/>
      <c r="E57" s="108"/>
      <c r="F57" s="777">
        <f>VLOOKUP(A57,lists!I:L,4,FALSE)</f>
        <v>6.5</v>
      </c>
      <c r="G57" s="777">
        <f t="shared" si="5"/>
        <v>13</v>
      </c>
    </row>
    <row r="58" spans="1:7">
      <c r="A58" t="s">
        <v>663</v>
      </c>
      <c r="B58" s="107" t="s">
        <v>902</v>
      </c>
      <c r="C58" s="108">
        <f>Calcs!F190</f>
        <v>8</v>
      </c>
      <c r="D58" s="108"/>
      <c r="E58" s="108"/>
      <c r="F58" s="777">
        <v>0.1</v>
      </c>
      <c r="G58" s="777">
        <f t="shared" si="5"/>
        <v>0.8</v>
      </c>
    </row>
    <row r="59" spans="1:7">
      <c r="A59" t="s">
        <v>665</v>
      </c>
      <c r="B59" s="53" t="s">
        <v>903</v>
      </c>
      <c r="C59" s="108">
        <f>Calcs!F191</f>
        <v>64</v>
      </c>
      <c r="D59" s="108"/>
      <c r="E59" s="108"/>
      <c r="F59" s="777">
        <f>VLOOKUP(A59,lists!I:L,4,FALSE)</f>
        <v>0.34</v>
      </c>
      <c r="G59" s="777">
        <f t="shared" si="5"/>
        <v>21.76</v>
      </c>
    </row>
    <row r="60" spans="1:7">
      <c r="A60" t="s">
        <v>667</v>
      </c>
      <c r="B60" s="107" t="s">
        <v>904</v>
      </c>
      <c r="C60" s="108">
        <f>Calcs!F192</f>
        <v>2</v>
      </c>
      <c r="D60" s="108"/>
      <c r="E60" s="108"/>
      <c r="F60" s="777">
        <f>VLOOKUP(A60,lists!I:L,4,FALSE)</f>
        <v>15.5</v>
      </c>
      <c r="G60" s="777">
        <f t="shared" si="5"/>
        <v>31</v>
      </c>
    </row>
    <row r="61" spans="1:7">
      <c r="A61" t="s">
        <v>669</v>
      </c>
      <c r="B61" s="107" t="s">
        <v>905</v>
      </c>
      <c r="C61" s="108">
        <f>Calcs!F193</f>
        <v>5</v>
      </c>
      <c r="D61" s="108"/>
      <c r="E61" s="108"/>
      <c r="F61" s="777">
        <f>VLOOKUP(A61,lists!I:L,4,FALSE)</f>
        <v>0.25</v>
      </c>
      <c r="G61" s="777">
        <f t="shared" si="5"/>
        <v>1.25</v>
      </c>
    </row>
    <row r="62" spans="1:7">
      <c r="A62" t="s">
        <v>671</v>
      </c>
      <c r="B62" s="107" t="s">
        <v>906</v>
      </c>
      <c r="C62" s="108">
        <f>Calcs!F194</f>
        <v>137</v>
      </c>
      <c r="D62" s="108"/>
      <c r="E62" s="108"/>
      <c r="F62" s="777">
        <f>VLOOKUP(A62,lists!I:L,4,FALSE)</f>
        <v>0.18</v>
      </c>
      <c r="G62" s="777">
        <f t="shared" si="5"/>
        <v>24.66</v>
      </c>
    </row>
    <row r="63" spans="1:7">
      <c r="A63" t="s">
        <v>673</v>
      </c>
      <c r="B63" s="53" t="s">
        <v>907</v>
      </c>
      <c r="C63" s="108">
        <f>Calcs!F195</f>
        <v>44</v>
      </c>
      <c r="D63" s="108"/>
      <c r="E63" s="108"/>
      <c r="F63" s="777">
        <f>VLOOKUP(A63,lists!I:L,4,FALSE)</f>
        <v>1</v>
      </c>
      <c r="G63" s="777">
        <f t="shared" si="5"/>
        <v>44</v>
      </c>
    </row>
    <row r="64" spans="1:7">
      <c r="A64" t="s">
        <v>675</v>
      </c>
      <c r="B64" s="53" t="s">
        <v>908</v>
      </c>
      <c r="C64" s="108">
        <f>Calcs!F196</f>
        <v>0</v>
      </c>
      <c r="D64" s="108"/>
      <c r="E64" s="108"/>
      <c r="F64" s="777">
        <f>VLOOKUP(A64,lists!I:L,4,FALSE)</f>
        <v>0.95</v>
      </c>
      <c r="G64" s="777"/>
    </row>
    <row r="65" spans="1:7">
      <c r="A65" t="s">
        <v>677</v>
      </c>
      <c r="B65" s="53" t="s">
        <v>909</v>
      </c>
      <c r="C65" s="108">
        <f>Calcs!F197</f>
        <v>0</v>
      </c>
      <c r="D65" s="108"/>
      <c r="E65" s="108"/>
      <c r="F65" s="777">
        <f>VLOOKUP(A65,lists!I:L,4,FALSE)</f>
        <v>0.55000000000000004</v>
      </c>
      <c r="G65" s="777">
        <f t="shared" si="5"/>
        <v>0</v>
      </c>
    </row>
    <row r="66" spans="1:7">
      <c r="A66" t="s">
        <v>679</v>
      </c>
      <c r="B66" s="53" t="s">
        <v>910</v>
      </c>
      <c r="C66" s="108">
        <f>Calcs!F198</f>
        <v>19</v>
      </c>
      <c r="D66" s="108"/>
      <c r="E66" s="108"/>
      <c r="F66" s="777">
        <f>VLOOKUP(A66,lists!I:L,4,FALSE)</f>
        <v>0.4</v>
      </c>
      <c r="G66" s="777">
        <f t="shared" si="5"/>
        <v>7.6000000000000005</v>
      </c>
    </row>
    <row r="67" spans="1:7">
      <c r="A67" t="s">
        <v>681</v>
      </c>
      <c r="B67" s="53" t="s">
        <v>911</v>
      </c>
      <c r="C67" s="108">
        <f>Calcs!F199</f>
        <v>4</v>
      </c>
      <c r="D67" s="108"/>
      <c r="E67" s="108"/>
      <c r="F67" s="777">
        <f>VLOOKUP(A67,lists!I:L,4,FALSE)</f>
        <v>0.26</v>
      </c>
      <c r="G67" s="777">
        <f t="shared" si="5"/>
        <v>1.04</v>
      </c>
    </row>
    <row r="68" spans="1:7">
      <c r="A68" t="s">
        <v>683</v>
      </c>
      <c r="B68" s="53" t="s">
        <v>912</v>
      </c>
      <c r="C68" s="108">
        <f>Calcs!F200</f>
        <v>4</v>
      </c>
      <c r="D68" s="108"/>
      <c r="E68" s="108"/>
      <c r="F68" s="777">
        <f>VLOOKUP(A68,lists!I:L,4,FALSE)</f>
        <v>0.5</v>
      </c>
      <c r="G68" s="777">
        <f t="shared" si="5"/>
        <v>2</v>
      </c>
    </row>
    <row r="69" spans="1:7">
      <c r="A69" t="s">
        <v>685</v>
      </c>
      <c r="B69" s="53" t="s">
        <v>913</v>
      </c>
      <c r="C69" s="108">
        <f>Calcs!F201</f>
        <v>18</v>
      </c>
      <c r="D69" s="108"/>
      <c r="E69" s="108"/>
      <c r="F69" s="777">
        <f>VLOOKUP(A69,lists!I:L,4,FALSE)</f>
        <v>0.09</v>
      </c>
      <c r="G69" s="777">
        <f t="shared" si="5"/>
        <v>1.6199999999999999</v>
      </c>
    </row>
    <row r="70" spans="1:7">
      <c r="A70" t="s">
        <v>687</v>
      </c>
      <c r="B70" s="53" t="s">
        <v>914</v>
      </c>
      <c r="C70" s="108">
        <f>Calcs!F202</f>
        <v>10</v>
      </c>
      <c r="D70" s="108"/>
      <c r="E70" s="108"/>
      <c r="F70" s="777">
        <f>VLOOKUP(A70,lists!I:L,4,FALSE)</f>
        <v>0.14000000000000001</v>
      </c>
      <c r="G70" s="777">
        <f t="shared" si="5"/>
        <v>1.4000000000000001</v>
      </c>
    </row>
    <row r="71" spans="1:7">
      <c r="A71" t="s">
        <v>689</v>
      </c>
      <c r="B71" s="53" t="s">
        <v>915</v>
      </c>
      <c r="C71" s="108">
        <f>Calcs!F203</f>
        <v>2</v>
      </c>
      <c r="D71" s="108"/>
      <c r="E71" s="108"/>
      <c r="F71" s="777">
        <f>VLOOKUP(A71,lists!I:L,4,FALSE)</f>
        <v>1.25</v>
      </c>
      <c r="G71" s="777">
        <f t="shared" si="5"/>
        <v>2.5</v>
      </c>
    </row>
    <row r="72" spans="1:7">
      <c r="A72" t="s">
        <v>691</v>
      </c>
      <c r="B72" s="53" t="s">
        <v>916</v>
      </c>
      <c r="C72" s="108">
        <f>Calcs!F204</f>
        <v>8</v>
      </c>
      <c r="D72" s="108"/>
      <c r="E72" s="108"/>
      <c r="F72" s="777">
        <f>VLOOKUP(A72,lists!I:L,4,FALSE)</f>
        <v>0.11</v>
      </c>
      <c r="G72" s="777">
        <f t="shared" si="5"/>
        <v>0.88</v>
      </c>
    </row>
    <row r="73" spans="1:7">
      <c r="A73" t="s">
        <v>693</v>
      </c>
      <c r="B73" s="53" t="s">
        <v>917</v>
      </c>
      <c r="C73" s="108">
        <f>Calcs!F205</f>
        <v>10</v>
      </c>
      <c r="D73" s="108"/>
      <c r="E73" s="108"/>
      <c r="F73" s="777">
        <f>VLOOKUP(A73,lists!I:L,4,FALSE)</f>
        <v>7.0000000000000007E-2</v>
      </c>
      <c r="G73" s="777">
        <f t="shared" si="5"/>
        <v>0.70000000000000007</v>
      </c>
    </row>
    <row r="74" spans="1:7">
      <c r="A74" t="s">
        <v>695</v>
      </c>
      <c r="B74" s="53" t="s">
        <v>918</v>
      </c>
      <c r="C74" s="108">
        <f>Calcs!F206</f>
        <v>22</v>
      </c>
      <c r="D74" s="108"/>
      <c r="E74" s="108"/>
      <c r="F74" s="777">
        <f>VLOOKUP(A74,lists!I:L,4,FALSE)</f>
        <v>0.09</v>
      </c>
      <c r="G74" s="777">
        <f t="shared" si="5"/>
        <v>1.98</v>
      </c>
    </row>
    <row r="75" spans="1:7">
      <c r="A75" t="s">
        <v>697</v>
      </c>
      <c r="B75" s="53" t="s">
        <v>919</v>
      </c>
      <c r="C75" s="108">
        <f>Calcs!F207</f>
        <v>14</v>
      </c>
      <c r="D75" s="108"/>
      <c r="E75" s="108"/>
      <c r="F75" s="777">
        <f>VLOOKUP(A75,lists!I:L,4,FALSE)</f>
        <v>0.3</v>
      </c>
      <c r="G75" s="777">
        <f t="shared" si="5"/>
        <v>4.2</v>
      </c>
    </row>
    <row r="76" spans="1:7">
      <c r="A76" t="s">
        <v>699</v>
      </c>
      <c r="B76" s="53" t="s">
        <v>920</v>
      </c>
      <c r="C76" s="108">
        <f>Calcs!F208</f>
        <v>4</v>
      </c>
      <c r="D76" s="108"/>
      <c r="E76" s="108"/>
      <c r="F76" s="777">
        <f>VLOOKUP(A76,lists!I:L,4,FALSE)</f>
        <v>0.17</v>
      </c>
      <c r="G76" s="777">
        <f t="shared" si="5"/>
        <v>0.68</v>
      </c>
    </row>
    <row r="77" spans="1:7">
      <c r="A77" t="s">
        <v>701</v>
      </c>
      <c r="B77" s="53" t="s">
        <v>921</v>
      </c>
      <c r="C77" s="108">
        <f>Calcs!F209</f>
        <v>6</v>
      </c>
      <c r="D77" s="108"/>
      <c r="E77" s="108"/>
      <c r="F77" s="777">
        <f>VLOOKUP(A77,lists!I:L,4,FALSE)</f>
        <v>1.1599999999999999</v>
      </c>
      <c r="G77" s="777">
        <f t="shared" si="5"/>
        <v>6.9599999999999991</v>
      </c>
    </row>
    <row r="78" spans="1:7">
      <c r="A78" t="s">
        <v>703</v>
      </c>
      <c r="B78" s="53" t="s">
        <v>922</v>
      </c>
      <c r="C78" s="108">
        <f>Calcs!F210</f>
        <v>0</v>
      </c>
      <c r="D78" s="108"/>
      <c r="E78" s="108"/>
      <c r="F78" s="777">
        <f>VLOOKUP(A78,lists!I:L,4,FALSE)</f>
        <v>1.47</v>
      </c>
      <c r="G78" s="777">
        <f t="shared" si="5"/>
        <v>0</v>
      </c>
    </row>
    <row r="79" spans="1:7">
      <c r="A79" t="s">
        <v>705</v>
      </c>
      <c r="B79" s="53" t="s">
        <v>923</v>
      </c>
      <c r="C79" s="108">
        <f>Calcs!F211</f>
        <v>12</v>
      </c>
      <c r="D79" s="108"/>
      <c r="E79" s="108"/>
      <c r="F79" s="777">
        <f>VLOOKUP(A79,lists!I:L,4,FALSE)</f>
        <v>0.23</v>
      </c>
      <c r="G79" s="777">
        <f t="shared" si="5"/>
        <v>2.7600000000000002</v>
      </c>
    </row>
    <row r="80" spans="1:7">
      <c r="A80" t="s">
        <v>707</v>
      </c>
      <c r="B80" s="53" t="s">
        <v>924</v>
      </c>
      <c r="C80" s="108">
        <f>Calcs!F212</f>
        <v>51</v>
      </c>
      <c r="D80" s="108"/>
      <c r="E80" s="108"/>
      <c r="F80" s="777">
        <f>VLOOKUP(A80,lists!I:L,4,FALSE)</f>
        <v>0.1</v>
      </c>
      <c r="G80" s="777">
        <f t="shared" si="5"/>
        <v>5.1000000000000005</v>
      </c>
    </row>
    <row r="81" spans="1:7">
      <c r="A81" t="s">
        <v>709</v>
      </c>
      <c r="B81" s="53" t="s">
        <v>925</v>
      </c>
      <c r="C81" s="108">
        <f>Calcs!F213</f>
        <v>0</v>
      </c>
      <c r="D81" s="108"/>
      <c r="E81" s="108"/>
      <c r="F81" s="777">
        <f>VLOOKUP(A81,lists!I:L,4,FALSE)</f>
        <v>1.06</v>
      </c>
      <c r="G81" s="777">
        <f t="shared" si="5"/>
        <v>0</v>
      </c>
    </row>
    <row r="82" spans="1:7">
      <c r="A82" t="s">
        <v>711</v>
      </c>
      <c r="B82" s="53" t="s">
        <v>926</v>
      </c>
      <c r="C82" s="108">
        <f>Calcs!F214</f>
        <v>1</v>
      </c>
      <c r="D82" s="108"/>
      <c r="E82" s="108"/>
      <c r="F82" s="777">
        <f>VLOOKUP(A82,lists!I:L,4,FALSE)</f>
        <v>11</v>
      </c>
      <c r="G82" s="777">
        <f t="shared" si="5"/>
        <v>11</v>
      </c>
    </row>
    <row r="83" spans="1:7">
      <c r="A83" t="s">
        <v>713</v>
      </c>
      <c r="B83" s="53" t="s">
        <v>714</v>
      </c>
      <c r="C83" s="108">
        <f>Calcs!F215</f>
        <v>0</v>
      </c>
      <c r="D83" s="108"/>
      <c r="E83" s="108"/>
      <c r="F83" s="777">
        <f>VLOOKUP(A83,lists!I:L,4,FALSE)</f>
        <v>1.18</v>
      </c>
      <c r="G83" s="777">
        <f t="shared" ref="G83:G94" si="6">C83*F83</f>
        <v>0</v>
      </c>
    </row>
    <row r="84" spans="1:7">
      <c r="A84" t="s">
        <v>715</v>
      </c>
      <c r="B84" s="53" t="s">
        <v>716</v>
      </c>
      <c r="C84" s="108">
        <f>Calcs!F216</f>
        <v>0</v>
      </c>
      <c r="D84" s="108"/>
      <c r="E84" s="108"/>
      <c r="F84" s="777">
        <f>VLOOKUP(A84,lists!I:L,4,FALSE)</f>
        <v>3.42</v>
      </c>
      <c r="G84" s="777">
        <f t="shared" si="6"/>
        <v>0</v>
      </c>
    </row>
    <row r="85" spans="1:7">
      <c r="A85" t="s">
        <v>717</v>
      </c>
      <c r="B85" s="53" t="s">
        <v>718</v>
      </c>
      <c r="C85" s="108">
        <f>Calcs!F217</f>
        <v>24</v>
      </c>
      <c r="D85" s="108"/>
      <c r="E85" s="108"/>
      <c r="F85" s="777">
        <f>VLOOKUP(A85,lists!I:L,4,FALSE)</f>
        <v>0.84</v>
      </c>
      <c r="G85" s="777">
        <f t="shared" si="6"/>
        <v>20.16</v>
      </c>
    </row>
    <row r="86" spans="1:7">
      <c r="A86" t="s">
        <v>719</v>
      </c>
      <c r="B86" s="53" t="s">
        <v>720</v>
      </c>
      <c r="C86" s="108">
        <f>Calcs!F218</f>
        <v>0</v>
      </c>
      <c r="D86" s="108"/>
      <c r="E86" s="108"/>
      <c r="F86" s="777">
        <f>VLOOKUP(A86,lists!I:L,4,FALSE)</f>
        <v>1.74</v>
      </c>
      <c r="G86" s="777">
        <f t="shared" ref="G86" si="7">C86*F86</f>
        <v>0</v>
      </c>
    </row>
    <row r="87" spans="1:7">
      <c r="A87" t="s">
        <v>927</v>
      </c>
      <c r="B87" t="s">
        <v>928</v>
      </c>
      <c r="C87" s="108">
        <v>0</v>
      </c>
      <c r="D87" s="108"/>
      <c r="E87" s="108"/>
      <c r="F87" s="777">
        <v>0</v>
      </c>
      <c r="G87" s="777">
        <v>0</v>
      </c>
    </row>
    <row r="88" spans="1:7">
      <c r="A88" t="s">
        <v>581</v>
      </c>
      <c r="B88" s="53" t="s">
        <v>929</v>
      </c>
      <c r="C88" s="108">
        <f>VLOOKUP!E53</f>
        <v>0</v>
      </c>
      <c r="D88" s="108"/>
      <c r="E88" s="108"/>
      <c r="F88" s="777">
        <v>0</v>
      </c>
      <c r="G88" s="777">
        <v>0</v>
      </c>
    </row>
    <row r="89" spans="1:7">
      <c r="A89" t="s">
        <v>259</v>
      </c>
      <c r="B89" s="53" t="s">
        <v>407</v>
      </c>
      <c r="C89" s="108">
        <f>Calcs!F42</f>
        <v>2</v>
      </c>
      <c r="D89" s="108"/>
      <c r="E89" s="108"/>
      <c r="F89" s="777">
        <v>0</v>
      </c>
      <c r="G89" s="777">
        <f t="shared" si="6"/>
        <v>0</v>
      </c>
    </row>
    <row r="90" spans="1:7">
      <c r="A90" t="s">
        <v>269</v>
      </c>
      <c r="B90" s="53" t="s">
        <v>270</v>
      </c>
      <c r="C90" s="108">
        <f>Calcs!F45</f>
        <v>6</v>
      </c>
      <c r="D90" s="108"/>
      <c r="E90" s="108"/>
      <c r="F90" s="777">
        <v>0</v>
      </c>
      <c r="G90" s="777">
        <f t="shared" si="6"/>
        <v>0</v>
      </c>
    </row>
    <row r="91" spans="1:7">
      <c r="A91" t="s">
        <v>272</v>
      </c>
      <c r="B91" s="53" t="s">
        <v>410</v>
      </c>
      <c r="C91" s="108">
        <f>Calcs!F46</f>
        <v>4</v>
      </c>
      <c r="D91" s="108"/>
      <c r="E91" s="108"/>
      <c r="F91" s="777">
        <v>0</v>
      </c>
      <c r="G91" s="777">
        <f t="shared" si="6"/>
        <v>0</v>
      </c>
    </row>
    <row r="92" spans="1:7">
      <c r="A92" t="s">
        <v>274</v>
      </c>
      <c r="B92" s="53" t="s">
        <v>411</v>
      </c>
      <c r="C92" s="108">
        <f>Calcs!F47</f>
        <v>2</v>
      </c>
      <c r="D92" s="108"/>
      <c r="E92" s="108"/>
      <c r="F92" s="777">
        <v>0</v>
      </c>
      <c r="G92" s="777">
        <f t="shared" si="6"/>
        <v>0</v>
      </c>
    </row>
    <row r="93" spans="1:7">
      <c r="A93" t="s">
        <v>591</v>
      </c>
      <c r="B93" s="53" t="s">
        <v>930</v>
      </c>
      <c r="C93" s="108">
        <f>VLOOKUP(A93,Calcs!$C$5:$F$260,4,FALSE)</f>
        <v>0</v>
      </c>
      <c r="D93" s="108"/>
      <c r="E93" s="108"/>
      <c r="F93" s="778">
        <v>0</v>
      </c>
      <c r="G93" s="777">
        <f t="shared" si="6"/>
        <v>0</v>
      </c>
    </row>
    <row r="94" spans="1:7">
      <c r="A94" t="s">
        <v>593</v>
      </c>
      <c r="B94" s="53" t="s">
        <v>931</v>
      </c>
      <c r="C94" s="108">
        <f>VLOOKUP(A94,Calcs!$C$5:$F$260,4,FALSE)</f>
        <v>0</v>
      </c>
      <c r="D94" s="108"/>
      <c r="E94" s="108"/>
      <c r="F94" s="778">
        <v>0</v>
      </c>
      <c r="G94" s="777">
        <f t="shared" si="6"/>
        <v>0</v>
      </c>
    </row>
    <row r="95" spans="1:7">
      <c r="A95" t="s">
        <v>721</v>
      </c>
      <c r="B95" s="55" t="s">
        <v>932</v>
      </c>
      <c r="C95" s="108">
        <f>VLOOKUP(A95,Calcs!$C$5:$F$260,4,FALSE)</f>
        <v>0</v>
      </c>
      <c r="D95" s="108"/>
      <c r="E95" s="108"/>
      <c r="F95" s="778">
        <v>0</v>
      </c>
      <c r="G95" s="777">
        <v>0</v>
      </c>
    </row>
    <row r="96" spans="1:7">
      <c r="B96" s="53"/>
      <c r="C96" s="108"/>
      <c r="D96" s="108"/>
      <c r="E96" s="108"/>
      <c r="F96" s="778"/>
      <c r="G96" s="777"/>
    </row>
    <row r="97" spans="1:7">
      <c r="B97" s="53"/>
      <c r="C97" s="108"/>
      <c r="D97" s="108"/>
      <c r="E97" s="108"/>
      <c r="F97" s="778"/>
      <c r="G97" s="777"/>
    </row>
    <row r="98" spans="1:7">
      <c r="B98" s="53"/>
      <c r="C98" s="108"/>
      <c r="D98" s="108"/>
      <c r="E98" s="108"/>
      <c r="F98" s="778"/>
      <c r="G98" s="777"/>
    </row>
    <row r="99" spans="1:7">
      <c r="B99" s="53"/>
      <c r="C99" s="108"/>
      <c r="D99" s="108"/>
      <c r="E99" s="108"/>
      <c r="F99" s="778"/>
      <c r="G99" s="777"/>
    </row>
    <row r="100" spans="1:7">
      <c r="B100" s="53"/>
      <c r="C100" s="108"/>
      <c r="D100" s="108"/>
      <c r="E100" s="108"/>
      <c r="F100" s="778"/>
      <c r="G100" s="777"/>
    </row>
    <row r="101" spans="1:7">
      <c r="B101" s="53"/>
      <c r="C101" s="108"/>
      <c r="D101" s="108"/>
      <c r="E101" s="108"/>
      <c r="F101" s="778"/>
      <c r="G101" s="777">
        <f t="shared" si="5"/>
        <v>0</v>
      </c>
    </row>
    <row r="102" spans="1:7">
      <c r="B102" s="53"/>
      <c r="C102" s="108"/>
      <c r="D102" s="108"/>
      <c r="E102" s="108"/>
      <c r="F102" s="778"/>
      <c r="G102" s="777">
        <f t="shared" si="5"/>
        <v>0</v>
      </c>
    </row>
    <row r="103" spans="1:7">
      <c r="A103" s="116"/>
      <c r="B103" s="116"/>
      <c r="C103" s="116"/>
      <c r="D103" s="116"/>
      <c r="E103" s="116"/>
      <c r="F103" s="116"/>
      <c r="G103" s="116"/>
    </row>
    <row r="104" spans="1:7">
      <c r="B104" s="115" t="s">
        <v>933</v>
      </c>
      <c r="G104" s="51">
        <f>SUM(G18:G103)</f>
        <v>5308.7</v>
      </c>
    </row>
    <row r="105" spans="1:7">
      <c r="B105" s="115" t="s">
        <v>934</v>
      </c>
      <c r="G105" s="51">
        <f>IF(B16="Prismatic-Other",Discovery!B45,IF(B16="Prismatic",250,0))</f>
        <v>0</v>
      </c>
    </row>
    <row r="106" spans="1:7">
      <c r="B106" s="115" t="s">
        <v>935</v>
      </c>
      <c r="G106" s="51">
        <v>100</v>
      </c>
    </row>
    <row r="107" spans="1:7">
      <c r="B107" s="115" t="s">
        <v>936</v>
      </c>
      <c r="G107" s="51" t="str">
        <f>B14</f>
        <v>TBD</v>
      </c>
    </row>
    <row r="108" spans="1:7" ht="15.75" thickBot="1">
      <c r="B108" s="116"/>
      <c r="C108" s="116"/>
      <c r="D108" s="116"/>
      <c r="E108" s="116"/>
      <c r="F108" s="116"/>
      <c r="G108" s="116"/>
    </row>
    <row r="109" spans="1:7">
      <c r="B109" s="115" t="s">
        <v>937</v>
      </c>
      <c r="G109" s="51">
        <f>SUM(G104:G107)</f>
        <v>5408.7</v>
      </c>
    </row>
  </sheetData>
  <mergeCells count="1">
    <mergeCell ref="A4:G4"/>
  </mergeCells>
  <phoneticPr fontId="10" type="noConversion"/>
  <pageMargins left="0.7" right="0.7" top="0.75" bottom="0.75" header="0.3" footer="0.3"/>
  <pageSetup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CD84-41EC-4B0E-9858-79D4F1396B35}">
  <sheetPr codeName="Sheet13">
    <tabColor theme="7" tint="0.39997558519241921"/>
    <pageSetUpPr fitToPage="1"/>
  </sheetPr>
  <dimension ref="B1:L228"/>
  <sheetViews>
    <sheetView showZeros="0" topLeftCell="A189" zoomScale="90" zoomScaleNormal="90" workbookViewId="0">
      <selection activeCell="C195" sqref="C195"/>
    </sheetView>
  </sheetViews>
  <sheetFormatPr defaultRowHeight="15" customHeight="1"/>
  <cols>
    <col min="1" max="1" width="8.7109375" bestFit="1" customWidth="1"/>
    <col min="2" max="2" width="72.42578125" bestFit="1" customWidth="1"/>
    <col min="3" max="3" width="9.140625" style="1"/>
    <col min="4" max="4" width="22.7109375" customWidth="1"/>
    <col min="5" max="5" width="22.5703125" customWidth="1"/>
    <col min="6" max="6" width="10.85546875" style="141" customWidth="1"/>
    <col min="7" max="7" width="22" bestFit="1" customWidth="1"/>
    <col min="8" max="8" width="20.7109375" customWidth="1"/>
    <col min="9" max="9" width="15" customWidth="1"/>
    <col min="10" max="10" width="19.140625" bestFit="1" customWidth="1"/>
    <col min="11" max="11" width="10.85546875" customWidth="1"/>
    <col min="13" max="13" width="9.28515625" bestFit="1" customWidth="1"/>
  </cols>
  <sheetData>
    <row r="1" spans="2:11" ht="21">
      <c r="B1" s="12" t="s">
        <v>938</v>
      </c>
      <c r="C1" s="722"/>
      <c r="D1" s="10"/>
      <c r="E1" s="9"/>
      <c r="F1" s="154"/>
      <c r="G1" s="18"/>
      <c r="H1" s="19"/>
      <c r="J1" s="489" t="s">
        <v>939</v>
      </c>
      <c r="K1" s="490" t="str">
        <f ca="1">B10&amp;" - PSF 73 - "&amp;TEXT(H9,"MMDDYYYY")</f>
        <v>Soar Autism Center - South Fort Collins - PSF 73 - 07222026</v>
      </c>
    </row>
    <row r="2" spans="2:11">
      <c r="B2" s="23" t="s">
        <v>940</v>
      </c>
      <c r="C2" s="723"/>
      <c r="D2" s="16"/>
      <c r="E2" s="23"/>
      <c r="F2" s="155"/>
      <c r="G2" s="15"/>
      <c r="H2" s="15"/>
      <c r="J2" s="489" t="s">
        <v>941</v>
      </c>
      <c r="K2" s="490" t="str">
        <f ca="1">B10&amp;" - "&amp;F9&amp;" - "&amp;TEXT(H9,"MMDDYYYY")</f>
        <v>Soar Autism Center - South Fort Collins - SENSORY-SS-260722-001 - 07222026</v>
      </c>
    </row>
    <row r="3" spans="2:11">
      <c r="B3" s="23" t="s">
        <v>942</v>
      </c>
      <c r="C3" s="723"/>
      <c r="D3" s="16"/>
      <c r="E3" s="23"/>
      <c r="F3" s="156"/>
      <c r="G3" s="15"/>
      <c r="H3" s="15"/>
      <c r="K3" s="485"/>
    </row>
    <row r="4" spans="2:11">
      <c r="B4" s="23" t="s">
        <v>943</v>
      </c>
      <c r="C4" s="724"/>
      <c r="D4" s="16"/>
      <c r="E4" s="23"/>
    </row>
    <row r="5" spans="2:11">
      <c r="B5" s="16" t="s">
        <v>944</v>
      </c>
      <c r="C5" s="671"/>
      <c r="D5" s="16"/>
      <c r="E5" s="23"/>
    </row>
    <row r="6" spans="2:11">
      <c r="B6" t="s">
        <v>945</v>
      </c>
      <c r="C6" s="723"/>
      <c r="D6" s="16"/>
      <c r="E6" s="23"/>
    </row>
    <row r="7" spans="2:11">
      <c r="B7" s="16"/>
      <c r="C7" s="671"/>
      <c r="D7" s="16"/>
      <c r="E7" s="23"/>
    </row>
    <row r="8" spans="2:11">
      <c r="B8" s="238" t="s">
        <v>946</v>
      </c>
      <c r="C8" s="725"/>
      <c r="D8" s="23"/>
      <c r="E8" s="15"/>
      <c r="F8" s="836" t="s">
        <v>947</v>
      </c>
      <c r="G8" s="836"/>
      <c r="H8" s="286" t="s">
        <v>948</v>
      </c>
    </row>
    <row r="9" spans="2:11" ht="14.25" customHeight="1">
      <c r="B9" s="16" t="str">
        <f>Discovery!B2</f>
        <v>Tyler Galiotto</v>
      </c>
      <c r="C9" s="723"/>
      <c r="D9" s="23"/>
      <c r="E9" s="15"/>
      <c r="F9" s="863" t="str">
        <f ca="1">"SENSORY-" &amp;
UPPER(LEFT(B10,1) &amp; RIGHT(B10,1)) &amp;
"-" &amp; TEXT(H9,"yymmdd") &amp;
"-" &amp;
TEXT(
   IF(AND(ISNUMBER(K11),K11&gt;0),
      K11,
      COUNTIFS($B$10:B10,B10,$H$9:H9,H9)
   ),
"000")</f>
        <v>SENSORY-SS-260722-001</v>
      </c>
      <c r="G9" s="838"/>
      <c r="H9" s="317">
        <f ca="1">TODAY()</f>
        <v>46225</v>
      </c>
    </row>
    <row r="10" spans="2:11">
      <c r="B10" s="16" t="str">
        <f>Discovery!B3</f>
        <v>Soar Autism Center - South Fort Collins</v>
      </c>
      <c r="C10" s="723"/>
      <c r="D10" s="23"/>
      <c r="E10" s="15"/>
      <c r="F10" s="839" t="s">
        <v>949</v>
      </c>
      <c r="G10" s="839"/>
      <c r="H10" s="286" t="s">
        <v>950</v>
      </c>
    </row>
    <row r="11" spans="2:11">
      <c r="B11" s="16" t="str">
        <f>Discovery!B4</f>
        <v>3801 Automation Way</v>
      </c>
      <c r="C11" s="723"/>
      <c r="D11" s="23"/>
      <c r="E11" s="15"/>
      <c r="F11" s="864" t="str">
        <f>"SSG-"&amp;Discovery!B13</f>
        <v>SSG-12552093278</v>
      </c>
      <c r="G11" s="864"/>
      <c r="H11" s="733">
        <f ca="1">H9+6</f>
        <v>46231</v>
      </c>
      <c r="J11" s="520" t="s">
        <v>951</v>
      </c>
      <c r="K11" s="53">
        <v>0</v>
      </c>
    </row>
    <row r="12" spans="2:11">
      <c r="B12" s="16" t="str">
        <f>Discovery!B5&amp;" "&amp;Discovery!B6&amp;" "&amp;Discovery!B10</f>
        <v>Fort Collins, CO 80525 United States</v>
      </c>
      <c r="C12" s="723"/>
      <c r="D12" s="23"/>
      <c r="E12" s="15"/>
      <c r="F12" s="865"/>
      <c r="G12" s="865"/>
      <c r="H12" s="732"/>
    </row>
    <row r="13" spans="2:11" ht="15" customHeight="1">
      <c r="B13" s="16"/>
      <c r="C13" s="671"/>
      <c r="D13" s="16"/>
      <c r="E13" s="16"/>
      <c r="F13" s="156"/>
      <c r="G13" s="15"/>
      <c r="H13" s="15"/>
      <c r="J13" s="1"/>
      <c r="K13" s="564"/>
    </row>
    <row r="14" spans="2:11" ht="15" customHeight="1">
      <c r="B14" s="815" t="s">
        <v>952</v>
      </c>
      <c r="C14" s="816"/>
      <c r="D14" s="816"/>
      <c r="E14" s="816"/>
      <c r="F14" s="816"/>
      <c r="G14" s="816"/>
      <c r="H14" s="817"/>
      <c r="J14" s="1"/>
      <c r="K14" s="564"/>
    </row>
    <row r="15" spans="2:11">
      <c r="B15" s="809" t="s">
        <v>953</v>
      </c>
      <c r="C15" s="810"/>
      <c r="D15" s="810"/>
      <c r="E15" s="810"/>
      <c r="F15" s="810"/>
      <c r="G15" s="810"/>
      <c r="H15" s="811"/>
    </row>
    <row r="16" spans="2:11">
      <c r="B16" s="812"/>
      <c r="C16" s="813"/>
      <c r="D16" s="813"/>
      <c r="E16" s="813"/>
      <c r="F16" s="813"/>
      <c r="G16" s="813"/>
      <c r="H16" s="814"/>
    </row>
    <row r="17" spans="2:8" ht="15" customHeight="1">
      <c r="B17" s="23"/>
      <c r="C17" s="723"/>
      <c r="D17" s="23"/>
      <c r="E17" s="16"/>
      <c r="F17" s="155"/>
      <c r="G17" s="16"/>
      <c r="H17" s="16"/>
    </row>
    <row r="18" spans="2:8" ht="15" customHeight="1">
      <c r="B18" s="676" t="s">
        <v>175</v>
      </c>
      <c r="C18" s="726" t="s">
        <v>954</v>
      </c>
      <c r="D18" s="730" t="s">
        <v>955</v>
      </c>
      <c r="E18" s="730" t="s">
        <v>956</v>
      </c>
      <c r="F18" s="704" t="s">
        <v>957</v>
      </c>
      <c r="G18" s="705" t="s">
        <v>958</v>
      </c>
      <c r="H18" s="706" t="s">
        <v>959</v>
      </c>
    </row>
    <row r="19" spans="2:8">
      <c r="B19" s="680"/>
      <c r="C19" s="731">
        <v>1</v>
      </c>
      <c r="D19" s="681"/>
      <c r="E19" s="710"/>
      <c r="F19" s="707"/>
      <c r="G19" s="721">
        <v>0</v>
      </c>
      <c r="H19" s="708">
        <f>F19+G19</f>
        <v>0</v>
      </c>
    </row>
    <row r="20" spans="2:8" ht="14.25" customHeight="1">
      <c r="B20" s="682"/>
      <c r="C20" s="204">
        <f>C19+1</f>
        <v>2</v>
      </c>
      <c r="E20" s="711"/>
      <c r="F20" s="391"/>
      <c r="G20" s="342">
        <v>0</v>
      </c>
      <c r="H20" s="343">
        <f>F20+G20</f>
        <v>0</v>
      </c>
    </row>
    <row r="21" spans="2:8" ht="14.25" customHeight="1">
      <c r="B21" s="682"/>
      <c r="C21" s="204">
        <f t="shared" ref="C21:C84" si="0">C20+1</f>
        <v>3</v>
      </c>
      <c r="E21" s="711"/>
      <c r="F21" s="391"/>
      <c r="G21" s="342">
        <v>0</v>
      </c>
      <c r="H21" s="343">
        <f t="shared" ref="H21:H84" si="1">F21+G21</f>
        <v>0</v>
      </c>
    </row>
    <row r="22" spans="2:8" ht="14.25" customHeight="1">
      <c r="B22" s="683"/>
      <c r="C22" s="204">
        <f t="shared" si="0"/>
        <v>4</v>
      </c>
      <c r="E22" s="712"/>
      <c r="F22" s="391"/>
      <c r="G22" s="342">
        <v>0</v>
      </c>
      <c r="H22" s="343">
        <f t="shared" si="1"/>
        <v>0</v>
      </c>
    </row>
    <row r="23" spans="2:8" ht="14.25" customHeight="1">
      <c r="B23" s="682"/>
      <c r="C23" s="204">
        <f t="shared" si="0"/>
        <v>5</v>
      </c>
      <c r="E23" s="711"/>
      <c r="F23" s="391"/>
      <c r="G23" s="342">
        <v>0</v>
      </c>
      <c r="H23" s="343">
        <f t="shared" si="1"/>
        <v>0</v>
      </c>
    </row>
    <row r="24" spans="2:8" ht="14.25" customHeight="1">
      <c r="B24" s="682"/>
      <c r="C24" s="204">
        <f t="shared" si="0"/>
        <v>6</v>
      </c>
      <c r="E24" s="711"/>
      <c r="F24" s="391"/>
      <c r="G24" s="342">
        <v>0</v>
      </c>
      <c r="H24" s="343">
        <f t="shared" si="1"/>
        <v>0</v>
      </c>
    </row>
    <row r="25" spans="2:8" ht="14.25" customHeight="1">
      <c r="B25" s="682"/>
      <c r="C25" s="204">
        <f t="shared" si="0"/>
        <v>7</v>
      </c>
      <c r="E25" s="711"/>
      <c r="F25" s="391"/>
      <c r="G25" s="342">
        <v>0</v>
      </c>
      <c r="H25" s="343">
        <f t="shared" si="1"/>
        <v>0</v>
      </c>
    </row>
    <row r="26" spans="2:8" ht="14.25" customHeight="1">
      <c r="B26" s="683"/>
      <c r="C26" s="204">
        <f t="shared" si="0"/>
        <v>8</v>
      </c>
      <c r="E26" s="712"/>
      <c r="F26" s="391"/>
      <c r="G26" s="342">
        <v>0</v>
      </c>
      <c r="H26" s="343">
        <f t="shared" si="1"/>
        <v>0</v>
      </c>
    </row>
    <row r="27" spans="2:8" ht="14.25" customHeight="1">
      <c r="B27" s="682"/>
      <c r="C27" s="204">
        <f t="shared" si="0"/>
        <v>9</v>
      </c>
      <c r="E27" s="711"/>
      <c r="F27" s="391"/>
      <c r="G27" s="342">
        <v>0</v>
      </c>
      <c r="H27" s="343">
        <f t="shared" si="1"/>
        <v>0</v>
      </c>
    </row>
    <row r="28" spans="2:8" ht="14.25" customHeight="1">
      <c r="B28" s="682"/>
      <c r="C28" s="204">
        <f t="shared" si="0"/>
        <v>10</v>
      </c>
      <c r="E28" s="711"/>
      <c r="F28" s="391"/>
      <c r="G28" s="342">
        <v>0</v>
      </c>
      <c r="H28" s="343">
        <f t="shared" si="1"/>
        <v>0</v>
      </c>
    </row>
    <row r="29" spans="2:8" ht="14.25" customHeight="1">
      <c r="B29" s="682"/>
      <c r="C29" s="204">
        <f t="shared" si="0"/>
        <v>11</v>
      </c>
      <c r="E29" s="711"/>
      <c r="F29" s="391"/>
      <c r="G29" s="342">
        <v>0</v>
      </c>
      <c r="H29" s="343">
        <f t="shared" si="1"/>
        <v>0</v>
      </c>
    </row>
    <row r="30" spans="2:8" ht="14.25" customHeight="1">
      <c r="B30" s="682"/>
      <c r="C30" s="204">
        <f t="shared" si="0"/>
        <v>12</v>
      </c>
      <c r="E30" s="711"/>
      <c r="F30" s="391"/>
      <c r="G30" s="342">
        <v>0</v>
      </c>
      <c r="H30" s="343">
        <f t="shared" si="1"/>
        <v>0</v>
      </c>
    </row>
    <row r="31" spans="2:8" ht="14.25" customHeight="1">
      <c r="B31" s="683"/>
      <c r="C31" s="204">
        <f t="shared" si="0"/>
        <v>13</v>
      </c>
      <c r="E31" s="712"/>
      <c r="F31" s="391"/>
      <c r="G31" s="342">
        <v>0</v>
      </c>
      <c r="H31" s="343">
        <f t="shared" si="1"/>
        <v>0</v>
      </c>
    </row>
    <row r="32" spans="2:8" ht="14.25" customHeight="1">
      <c r="B32" s="683"/>
      <c r="C32" s="204">
        <f t="shared" si="0"/>
        <v>14</v>
      </c>
      <c r="E32" s="712"/>
      <c r="F32" s="391"/>
      <c r="G32" s="342">
        <v>0</v>
      </c>
      <c r="H32" s="343">
        <f t="shared" si="1"/>
        <v>0</v>
      </c>
    </row>
    <row r="33" spans="2:8" ht="14.25" customHeight="1">
      <c r="B33" s="682"/>
      <c r="C33" s="204">
        <f t="shared" si="0"/>
        <v>15</v>
      </c>
      <c r="E33" s="711"/>
      <c r="F33" s="391"/>
      <c r="G33" s="342">
        <v>0</v>
      </c>
      <c r="H33" s="343">
        <f t="shared" si="1"/>
        <v>0</v>
      </c>
    </row>
    <row r="34" spans="2:8" ht="14.25" customHeight="1">
      <c r="B34" s="683"/>
      <c r="C34" s="204">
        <f t="shared" si="0"/>
        <v>16</v>
      </c>
      <c r="E34" s="712"/>
      <c r="F34" s="391"/>
      <c r="G34" s="342">
        <v>0</v>
      </c>
      <c r="H34" s="343">
        <f t="shared" si="1"/>
        <v>0</v>
      </c>
    </row>
    <row r="35" spans="2:8" ht="14.25" customHeight="1">
      <c r="B35" s="682"/>
      <c r="C35" s="204">
        <f t="shared" si="0"/>
        <v>17</v>
      </c>
      <c r="E35" s="711"/>
      <c r="F35" s="391"/>
      <c r="G35" s="342">
        <v>0</v>
      </c>
      <c r="H35" s="343">
        <f t="shared" si="1"/>
        <v>0</v>
      </c>
    </row>
    <row r="36" spans="2:8" ht="14.25" customHeight="1">
      <c r="B36" s="682"/>
      <c r="C36" s="204">
        <f t="shared" si="0"/>
        <v>18</v>
      </c>
      <c r="E36" s="711"/>
      <c r="F36" s="391"/>
      <c r="G36" s="342">
        <v>0</v>
      </c>
      <c r="H36" s="343">
        <f t="shared" si="1"/>
        <v>0</v>
      </c>
    </row>
    <row r="37" spans="2:8" ht="14.25" customHeight="1">
      <c r="B37" s="682"/>
      <c r="C37" s="204">
        <f t="shared" si="0"/>
        <v>19</v>
      </c>
      <c r="E37" s="711"/>
      <c r="F37" s="391"/>
      <c r="G37" s="342">
        <v>0</v>
      </c>
      <c r="H37" s="343">
        <f t="shared" si="1"/>
        <v>0</v>
      </c>
    </row>
    <row r="38" spans="2:8" ht="14.25" customHeight="1">
      <c r="B38" s="682"/>
      <c r="C38" s="204">
        <f t="shared" si="0"/>
        <v>20</v>
      </c>
      <c r="E38" s="711"/>
      <c r="F38" s="391"/>
      <c r="G38" s="342">
        <v>0</v>
      </c>
      <c r="H38" s="343">
        <f t="shared" si="1"/>
        <v>0</v>
      </c>
    </row>
    <row r="39" spans="2:8" ht="14.25" customHeight="1">
      <c r="B39" s="682"/>
      <c r="C39" s="204">
        <f t="shared" si="0"/>
        <v>21</v>
      </c>
      <c r="E39" s="711"/>
      <c r="F39" s="391"/>
      <c r="G39" s="342">
        <v>0</v>
      </c>
      <c r="H39" s="343">
        <f t="shared" si="1"/>
        <v>0</v>
      </c>
    </row>
    <row r="40" spans="2:8" ht="14.25" customHeight="1">
      <c r="B40" s="683"/>
      <c r="C40" s="204">
        <f t="shared" si="0"/>
        <v>22</v>
      </c>
      <c r="E40" s="712"/>
      <c r="F40" s="391"/>
      <c r="G40" s="342">
        <v>0</v>
      </c>
      <c r="H40" s="343">
        <f t="shared" si="1"/>
        <v>0</v>
      </c>
    </row>
    <row r="41" spans="2:8" ht="14.25" customHeight="1">
      <c r="B41" s="683"/>
      <c r="C41" s="204">
        <f t="shared" si="0"/>
        <v>23</v>
      </c>
      <c r="E41" s="712"/>
      <c r="F41" s="391"/>
      <c r="G41" s="342">
        <v>0</v>
      </c>
      <c r="H41" s="343">
        <f t="shared" si="1"/>
        <v>0</v>
      </c>
    </row>
    <row r="42" spans="2:8" ht="14.25" customHeight="1">
      <c r="B42" s="682"/>
      <c r="C42" s="204">
        <f t="shared" si="0"/>
        <v>24</v>
      </c>
      <c r="E42" s="711"/>
      <c r="F42" s="391"/>
      <c r="G42" s="342">
        <v>0</v>
      </c>
      <c r="H42" s="343">
        <f t="shared" si="1"/>
        <v>0</v>
      </c>
    </row>
    <row r="43" spans="2:8" ht="14.25" customHeight="1">
      <c r="B43" s="682"/>
      <c r="C43" s="204">
        <f t="shared" si="0"/>
        <v>25</v>
      </c>
      <c r="E43" s="711"/>
      <c r="F43" s="391"/>
      <c r="G43" s="342">
        <v>0</v>
      </c>
      <c r="H43" s="343">
        <f t="shared" si="1"/>
        <v>0</v>
      </c>
    </row>
    <row r="44" spans="2:8" ht="14.25" customHeight="1">
      <c r="B44" s="683"/>
      <c r="C44" s="204">
        <f t="shared" si="0"/>
        <v>26</v>
      </c>
      <c r="E44" s="712"/>
      <c r="F44" s="391"/>
      <c r="G44" s="342">
        <v>0</v>
      </c>
      <c r="H44" s="343">
        <f t="shared" si="1"/>
        <v>0</v>
      </c>
    </row>
    <row r="45" spans="2:8" ht="14.25" customHeight="1">
      <c r="B45" s="683"/>
      <c r="C45" s="204">
        <f t="shared" si="0"/>
        <v>27</v>
      </c>
      <c r="E45" s="712"/>
      <c r="F45" s="391"/>
      <c r="G45" s="342">
        <v>0</v>
      </c>
      <c r="H45" s="343">
        <f t="shared" si="1"/>
        <v>0</v>
      </c>
    </row>
    <row r="46" spans="2:8" ht="14.25" customHeight="1">
      <c r="B46" s="683"/>
      <c r="C46" s="204">
        <f t="shared" si="0"/>
        <v>28</v>
      </c>
      <c r="E46" s="712"/>
      <c r="F46" s="391"/>
      <c r="G46" s="342">
        <v>0</v>
      </c>
      <c r="H46" s="343">
        <f t="shared" si="1"/>
        <v>0</v>
      </c>
    </row>
    <row r="47" spans="2:8" ht="14.25" customHeight="1">
      <c r="B47" s="682"/>
      <c r="C47" s="204">
        <f t="shared" si="0"/>
        <v>29</v>
      </c>
      <c r="E47" s="711"/>
      <c r="F47" s="391"/>
      <c r="G47" s="342">
        <v>0</v>
      </c>
      <c r="H47" s="343">
        <f t="shared" si="1"/>
        <v>0</v>
      </c>
    </row>
    <row r="48" spans="2:8" ht="14.25" customHeight="1">
      <c r="B48" s="682"/>
      <c r="C48" s="204">
        <f t="shared" si="0"/>
        <v>30</v>
      </c>
      <c r="E48" s="711"/>
      <c r="F48" s="391"/>
      <c r="G48" s="342">
        <v>0</v>
      </c>
      <c r="H48" s="343">
        <f t="shared" si="1"/>
        <v>0</v>
      </c>
    </row>
    <row r="49" spans="2:9" ht="14.25" customHeight="1">
      <c r="B49" s="683"/>
      <c r="C49" s="204">
        <f t="shared" si="0"/>
        <v>31</v>
      </c>
      <c r="E49" s="712"/>
      <c r="F49" s="391"/>
      <c r="G49" s="342">
        <v>0</v>
      </c>
      <c r="H49" s="343">
        <f t="shared" si="1"/>
        <v>0</v>
      </c>
    </row>
    <row r="50" spans="2:9" ht="14.25" customHeight="1">
      <c r="B50" s="684"/>
      <c r="C50" s="204">
        <f t="shared" si="0"/>
        <v>32</v>
      </c>
      <c r="E50" s="713"/>
      <c r="F50" s="396"/>
      <c r="G50" s="342">
        <v>0</v>
      </c>
      <c r="H50" s="343">
        <f t="shared" si="1"/>
        <v>0</v>
      </c>
    </row>
    <row r="51" spans="2:9" ht="14.25" customHeight="1">
      <c r="B51" s="685"/>
      <c r="C51" s="204">
        <f t="shared" si="0"/>
        <v>33</v>
      </c>
      <c r="D51" s="389"/>
      <c r="E51" s="712"/>
      <c r="F51" s="392"/>
      <c r="G51" s="342">
        <v>0</v>
      </c>
      <c r="H51" s="343">
        <f t="shared" si="1"/>
        <v>0</v>
      </c>
    </row>
    <row r="52" spans="2:9" ht="14.25" customHeight="1">
      <c r="B52" s="686"/>
      <c r="C52" s="204">
        <f t="shared" si="0"/>
        <v>34</v>
      </c>
      <c r="D52" s="389"/>
      <c r="E52" s="712"/>
      <c r="F52" s="392"/>
      <c r="G52" s="342">
        <v>0</v>
      </c>
      <c r="H52" s="343">
        <f t="shared" si="1"/>
        <v>0</v>
      </c>
      <c r="I52" s="131"/>
    </row>
    <row r="53" spans="2:9" ht="14.25" customHeight="1">
      <c r="B53" s="683"/>
      <c r="C53" s="204">
        <f t="shared" si="0"/>
        <v>35</v>
      </c>
      <c r="D53" s="389"/>
      <c r="E53" s="712"/>
      <c r="F53" s="401"/>
      <c r="G53" s="342">
        <v>0</v>
      </c>
      <c r="H53" s="343">
        <f t="shared" si="1"/>
        <v>0</v>
      </c>
    </row>
    <row r="54" spans="2:9" ht="14.25" customHeight="1">
      <c r="B54" s="682"/>
      <c r="C54" s="204">
        <f t="shared" si="0"/>
        <v>36</v>
      </c>
      <c r="D54" s="23"/>
      <c r="E54" s="711"/>
      <c r="F54" s="250"/>
      <c r="G54" s="342">
        <v>0</v>
      </c>
      <c r="H54" s="343">
        <f t="shared" si="1"/>
        <v>0</v>
      </c>
    </row>
    <row r="55" spans="2:9" ht="14.25" customHeight="1">
      <c r="B55" s="682"/>
      <c r="C55" s="204">
        <f t="shared" si="0"/>
        <v>37</v>
      </c>
      <c r="D55" s="23"/>
      <c r="E55" s="711"/>
      <c r="F55" s="250"/>
      <c r="G55" s="342">
        <v>0</v>
      </c>
      <c r="H55" s="343">
        <f t="shared" si="1"/>
        <v>0</v>
      </c>
    </row>
    <row r="56" spans="2:9" ht="14.25" customHeight="1">
      <c r="B56" s="682"/>
      <c r="C56" s="204">
        <f t="shared" si="0"/>
        <v>38</v>
      </c>
      <c r="D56" s="774"/>
      <c r="E56" s="711"/>
      <c r="F56" s="250"/>
      <c r="G56" s="342">
        <v>0</v>
      </c>
      <c r="H56" s="343">
        <f t="shared" si="1"/>
        <v>0</v>
      </c>
    </row>
    <row r="57" spans="2:9" ht="14.25" customHeight="1">
      <c r="B57" s="682"/>
      <c r="C57" s="204">
        <f t="shared" si="0"/>
        <v>39</v>
      </c>
      <c r="D57" s="774"/>
      <c r="E57" s="711"/>
      <c r="F57" s="250"/>
      <c r="G57" s="342">
        <v>0</v>
      </c>
      <c r="H57" s="343">
        <f t="shared" si="1"/>
        <v>0</v>
      </c>
    </row>
    <row r="58" spans="2:9" ht="14.25" customHeight="1">
      <c r="B58" s="682"/>
      <c r="C58" s="204">
        <f t="shared" si="0"/>
        <v>40</v>
      </c>
      <c r="D58" s="774"/>
      <c r="E58" s="711"/>
      <c r="F58" s="250"/>
      <c r="G58" s="342">
        <v>0</v>
      </c>
      <c r="H58" s="343">
        <f t="shared" si="1"/>
        <v>0</v>
      </c>
    </row>
    <row r="59" spans="2:9" ht="14.25" customHeight="1">
      <c r="B59" s="682"/>
      <c r="C59" s="204">
        <f t="shared" si="0"/>
        <v>41</v>
      </c>
      <c r="D59" s="774"/>
      <c r="E59" s="711"/>
      <c r="F59" s="250"/>
      <c r="G59" s="342">
        <v>0</v>
      </c>
      <c r="H59" s="343">
        <f t="shared" si="1"/>
        <v>0</v>
      </c>
    </row>
    <row r="60" spans="2:9" ht="14.25" customHeight="1">
      <c r="B60" s="682"/>
      <c r="C60" s="204">
        <f t="shared" si="0"/>
        <v>42</v>
      </c>
      <c r="D60" s="774"/>
      <c r="E60" s="711"/>
      <c r="F60" s="250"/>
      <c r="G60" s="342">
        <v>0</v>
      </c>
      <c r="H60" s="343">
        <f t="shared" si="1"/>
        <v>0</v>
      </c>
    </row>
    <row r="61" spans="2:9" ht="14.25" customHeight="1">
      <c r="B61" s="682"/>
      <c r="C61" s="204">
        <f t="shared" si="0"/>
        <v>43</v>
      </c>
      <c r="D61" s="774"/>
      <c r="E61" s="711"/>
      <c r="F61" s="250"/>
      <c r="G61" s="342">
        <v>0</v>
      </c>
      <c r="H61" s="343">
        <f t="shared" si="1"/>
        <v>0</v>
      </c>
    </row>
    <row r="62" spans="2:9" ht="14.25" customHeight="1">
      <c r="B62" s="682"/>
      <c r="C62" s="204">
        <f t="shared" si="0"/>
        <v>44</v>
      </c>
      <c r="D62" s="774"/>
      <c r="E62" s="711"/>
      <c r="F62" s="250"/>
      <c r="G62" s="342">
        <v>0</v>
      </c>
      <c r="H62" s="343">
        <f t="shared" si="1"/>
        <v>0</v>
      </c>
    </row>
    <row r="63" spans="2:9" ht="14.25" customHeight="1">
      <c r="B63" s="684"/>
      <c r="C63" s="204">
        <f t="shared" si="0"/>
        <v>45</v>
      </c>
      <c r="D63" s="394"/>
      <c r="E63" s="713"/>
      <c r="F63" s="396"/>
      <c r="G63" s="342">
        <v>0</v>
      </c>
      <c r="H63" s="343">
        <f t="shared" si="1"/>
        <v>0</v>
      </c>
    </row>
    <row r="64" spans="2:9" ht="14.25" customHeight="1">
      <c r="B64" s="684"/>
      <c r="C64" s="204">
        <f t="shared" si="0"/>
        <v>46</v>
      </c>
      <c r="D64" s="394"/>
      <c r="E64" s="713"/>
      <c r="F64" s="396"/>
      <c r="G64" s="342">
        <v>0</v>
      </c>
      <c r="H64" s="343">
        <f t="shared" si="1"/>
        <v>0</v>
      </c>
    </row>
    <row r="65" spans="2:8" ht="14.25" customHeight="1">
      <c r="B65" s="686"/>
      <c r="C65" s="204">
        <f t="shared" si="0"/>
        <v>47</v>
      </c>
      <c r="D65" s="389"/>
      <c r="E65" s="712"/>
      <c r="F65" s="392"/>
      <c r="G65" s="342">
        <v>0</v>
      </c>
      <c r="H65" s="343">
        <f t="shared" si="1"/>
        <v>0</v>
      </c>
    </row>
    <row r="66" spans="2:8" ht="14.25" customHeight="1">
      <c r="B66" s="683"/>
      <c r="C66" s="204">
        <f t="shared" si="0"/>
        <v>48</v>
      </c>
      <c r="D66" s="389"/>
      <c r="E66" s="712"/>
      <c r="F66" s="392"/>
      <c r="G66" s="342">
        <v>0</v>
      </c>
      <c r="H66" s="343">
        <f t="shared" si="1"/>
        <v>0</v>
      </c>
    </row>
    <row r="67" spans="2:8" ht="14.25" customHeight="1">
      <c r="B67" s="687"/>
      <c r="C67" s="204">
        <f t="shared" si="0"/>
        <v>49</v>
      </c>
      <c r="D67" s="389"/>
      <c r="E67" s="712"/>
      <c r="F67" s="392"/>
      <c r="G67" s="342">
        <v>0</v>
      </c>
      <c r="H67" s="343">
        <f t="shared" si="1"/>
        <v>0</v>
      </c>
    </row>
    <row r="68" spans="2:8" ht="14.25" customHeight="1">
      <c r="B68" s="606"/>
      <c r="C68" s="204">
        <f t="shared" si="0"/>
        <v>50</v>
      </c>
      <c r="D68" s="774"/>
      <c r="E68" s="715"/>
      <c r="F68" s="250"/>
      <c r="G68" s="342">
        <v>0</v>
      </c>
      <c r="H68" s="343">
        <f t="shared" si="1"/>
        <v>0</v>
      </c>
    </row>
    <row r="69" spans="2:8" ht="14.25" customHeight="1">
      <c r="B69" s="606"/>
      <c r="C69" s="204">
        <f t="shared" si="0"/>
        <v>51</v>
      </c>
      <c r="D69" s="774"/>
      <c r="E69" s="715"/>
      <c r="F69" s="250"/>
      <c r="G69" s="342">
        <v>0</v>
      </c>
      <c r="H69" s="343">
        <f t="shared" si="1"/>
        <v>0</v>
      </c>
    </row>
    <row r="70" spans="2:8" ht="14.25" customHeight="1">
      <c r="B70" s="688"/>
      <c r="C70" s="204">
        <f t="shared" si="0"/>
        <v>52</v>
      </c>
      <c r="D70" s="672"/>
      <c r="E70" s="715"/>
      <c r="F70" s="250"/>
      <c r="G70" s="342">
        <v>0</v>
      </c>
      <c r="H70" s="343">
        <f t="shared" si="1"/>
        <v>0</v>
      </c>
    </row>
    <row r="71" spans="2:8" ht="14.25" customHeight="1">
      <c r="B71" s="606"/>
      <c r="C71" s="204">
        <f t="shared" si="0"/>
        <v>53</v>
      </c>
      <c r="D71" s="779"/>
      <c r="E71" s="715"/>
      <c r="F71" s="250"/>
      <c r="G71" s="342">
        <v>0</v>
      </c>
      <c r="H71" s="343">
        <f t="shared" si="1"/>
        <v>0</v>
      </c>
    </row>
    <row r="72" spans="2:8" ht="14.25" customHeight="1">
      <c r="B72" s="688"/>
      <c r="C72" s="204">
        <f t="shared" si="0"/>
        <v>54</v>
      </c>
      <c r="D72" s="672"/>
      <c r="E72" s="715"/>
      <c r="F72" s="250"/>
      <c r="G72" s="342">
        <v>0</v>
      </c>
      <c r="H72" s="343">
        <f t="shared" si="1"/>
        <v>0</v>
      </c>
    </row>
    <row r="73" spans="2:8" ht="14.25" customHeight="1">
      <c r="B73" s="689"/>
      <c r="C73" s="204">
        <f t="shared" si="0"/>
        <v>55</v>
      </c>
      <c r="D73" s="774"/>
      <c r="E73" s="715"/>
      <c r="F73" s="250"/>
      <c r="G73" s="342">
        <v>0</v>
      </c>
      <c r="H73" s="343">
        <f t="shared" si="1"/>
        <v>0</v>
      </c>
    </row>
    <row r="74" spans="2:8" ht="14.25" customHeight="1">
      <c r="B74" s="690"/>
      <c r="C74" s="204">
        <f>C73+1</f>
        <v>56</v>
      </c>
      <c r="D74" s="74"/>
      <c r="E74" s="716"/>
      <c r="F74" s="392"/>
      <c r="G74" s="342">
        <v>0</v>
      </c>
      <c r="H74" s="343">
        <f t="shared" si="1"/>
        <v>0</v>
      </c>
    </row>
    <row r="75" spans="2:8" ht="14.25" customHeight="1">
      <c r="B75" s="606"/>
      <c r="C75" s="204">
        <f t="shared" si="0"/>
        <v>57</v>
      </c>
      <c r="D75" s="774"/>
      <c r="E75" s="715"/>
      <c r="F75" s="250"/>
      <c r="G75" s="342">
        <v>0</v>
      </c>
      <c r="H75" s="343">
        <f t="shared" si="1"/>
        <v>0</v>
      </c>
    </row>
    <row r="76" spans="2:8" ht="14.25" customHeight="1">
      <c r="B76" s="606"/>
      <c r="C76" s="204">
        <f t="shared" si="0"/>
        <v>58</v>
      </c>
      <c r="D76" s="774"/>
      <c r="E76" s="715"/>
      <c r="F76" s="250"/>
      <c r="G76" s="342">
        <v>0</v>
      </c>
      <c r="H76" s="343">
        <f t="shared" si="1"/>
        <v>0</v>
      </c>
    </row>
    <row r="77" spans="2:8" ht="14.25" customHeight="1">
      <c r="B77" s="606"/>
      <c r="C77" s="204">
        <f t="shared" si="0"/>
        <v>59</v>
      </c>
      <c r="D77" s="774"/>
      <c r="E77" s="715"/>
      <c r="F77" s="250"/>
      <c r="G77" s="342">
        <v>0</v>
      </c>
      <c r="H77" s="343">
        <f t="shared" si="1"/>
        <v>0</v>
      </c>
    </row>
    <row r="78" spans="2:8" ht="14.25" customHeight="1">
      <c r="B78" s="690"/>
      <c r="C78" s="204">
        <f t="shared" si="0"/>
        <v>60</v>
      </c>
      <c r="D78" s="774"/>
      <c r="E78" s="715"/>
      <c r="F78" s="546"/>
      <c r="G78" s="342">
        <v>0</v>
      </c>
      <c r="H78" s="343">
        <f t="shared" si="1"/>
        <v>0</v>
      </c>
    </row>
    <row r="79" spans="2:8" ht="14.25" customHeight="1">
      <c r="B79" s="606"/>
      <c r="C79" s="204">
        <f t="shared" si="0"/>
        <v>61</v>
      </c>
      <c r="D79" s="774"/>
      <c r="E79" s="715"/>
      <c r="F79" s="250"/>
      <c r="G79" s="342">
        <v>0</v>
      </c>
      <c r="H79" s="343">
        <f t="shared" si="1"/>
        <v>0</v>
      </c>
    </row>
    <row r="80" spans="2:8" ht="14.25" customHeight="1">
      <c r="B80" s="691"/>
      <c r="C80" s="204">
        <f t="shared" si="0"/>
        <v>62</v>
      </c>
      <c r="D80" s="774"/>
      <c r="E80" s="715"/>
      <c r="F80" s="250"/>
      <c r="G80" s="342">
        <v>0</v>
      </c>
      <c r="H80" s="343">
        <f t="shared" si="1"/>
        <v>0</v>
      </c>
    </row>
    <row r="81" spans="2:8" ht="14.25" customHeight="1">
      <c r="B81" s="691"/>
      <c r="C81" s="204">
        <f t="shared" si="0"/>
        <v>63</v>
      </c>
      <c r="D81" s="774"/>
      <c r="E81" s="715"/>
      <c r="F81" s="250"/>
      <c r="G81" s="342">
        <v>0</v>
      </c>
      <c r="H81" s="343">
        <f t="shared" si="1"/>
        <v>0</v>
      </c>
    </row>
    <row r="82" spans="2:8" ht="14.25" customHeight="1">
      <c r="B82" s="606"/>
      <c r="C82" s="204">
        <f t="shared" si="0"/>
        <v>64</v>
      </c>
      <c r="D82" s="774"/>
      <c r="E82" s="715"/>
      <c r="F82" s="250"/>
      <c r="G82" s="342">
        <v>0</v>
      </c>
      <c r="H82" s="343">
        <f t="shared" si="1"/>
        <v>0</v>
      </c>
    </row>
    <row r="83" spans="2:8" ht="14.25" customHeight="1">
      <c r="B83" s="691"/>
      <c r="C83" s="204">
        <f t="shared" si="0"/>
        <v>65</v>
      </c>
      <c r="D83" s="774"/>
      <c r="E83" s="715"/>
      <c r="F83" s="250"/>
      <c r="G83" s="342">
        <v>0</v>
      </c>
      <c r="H83" s="343">
        <f t="shared" si="1"/>
        <v>0</v>
      </c>
    </row>
    <row r="84" spans="2:8" ht="14.25" customHeight="1">
      <c r="B84" s="691"/>
      <c r="C84" s="204">
        <f t="shared" si="0"/>
        <v>66</v>
      </c>
      <c r="E84" s="715"/>
      <c r="F84" s="250"/>
      <c r="G84" s="342">
        <v>0</v>
      </c>
      <c r="H84" s="343">
        <f t="shared" si="1"/>
        <v>0</v>
      </c>
    </row>
    <row r="85" spans="2:8" ht="14.25" customHeight="1">
      <c r="B85" s="691"/>
      <c r="C85" s="204">
        <f t="shared" ref="C85:C148" si="2">C84+1</f>
        <v>67</v>
      </c>
      <c r="E85" s="715"/>
      <c r="F85" s="250"/>
      <c r="G85" s="342">
        <v>0</v>
      </c>
      <c r="H85" s="343">
        <f t="shared" ref="H85:H148" si="3">F85+G85</f>
        <v>0</v>
      </c>
    </row>
    <row r="86" spans="2:8" ht="14.25" customHeight="1">
      <c r="B86" s="691"/>
      <c r="C86" s="204">
        <f t="shared" si="2"/>
        <v>68</v>
      </c>
      <c r="E86" s="715"/>
      <c r="F86" s="250"/>
      <c r="G86" s="342">
        <v>0</v>
      </c>
      <c r="H86" s="343">
        <f t="shared" si="3"/>
        <v>0</v>
      </c>
    </row>
    <row r="87" spans="2:8" ht="14.25" customHeight="1">
      <c r="B87" s="691"/>
      <c r="C87" s="204">
        <f t="shared" si="2"/>
        <v>69</v>
      </c>
      <c r="E87" s="715"/>
      <c r="F87" s="250"/>
      <c r="G87" s="342">
        <v>0</v>
      </c>
      <c r="H87" s="343">
        <f t="shared" si="3"/>
        <v>0</v>
      </c>
    </row>
    <row r="88" spans="2:8" ht="14.25" customHeight="1">
      <c r="B88" s="691"/>
      <c r="C88" s="204">
        <f t="shared" si="2"/>
        <v>70</v>
      </c>
      <c r="E88" s="715"/>
      <c r="F88" s="250"/>
      <c r="G88" s="342">
        <v>0</v>
      </c>
      <c r="H88" s="343">
        <f t="shared" si="3"/>
        <v>0</v>
      </c>
    </row>
    <row r="89" spans="2:8" ht="14.25" customHeight="1">
      <c r="B89" s="691"/>
      <c r="C89" s="204">
        <f t="shared" si="2"/>
        <v>71</v>
      </c>
      <c r="E89" s="715"/>
      <c r="F89" s="250"/>
      <c r="G89" s="342">
        <v>0</v>
      </c>
      <c r="H89" s="343">
        <f t="shared" si="3"/>
        <v>0</v>
      </c>
    </row>
    <row r="90" spans="2:8" ht="14.25" customHeight="1">
      <c r="B90" s="691"/>
      <c r="C90" s="204">
        <f t="shared" si="2"/>
        <v>72</v>
      </c>
      <c r="E90" s="715"/>
      <c r="F90" s="250"/>
      <c r="G90" s="342">
        <v>0</v>
      </c>
      <c r="H90" s="343">
        <f t="shared" si="3"/>
        <v>0</v>
      </c>
    </row>
    <row r="91" spans="2:8" ht="14.25" customHeight="1">
      <c r="B91" s="691"/>
      <c r="C91" s="204">
        <f t="shared" si="2"/>
        <v>73</v>
      </c>
      <c r="D91" s="594"/>
      <c r="E91" s="715"/>
      <c r="F91" s="250"/>
      <c r="G91" s="342">
        <v>0</v>
      </c>
      <c r="H91" s="343">
        <f t="shared" si="3"/>
        <v>0</v>
      </c>
    </row>
    <row r="92" spans="2:8" ht="14.25" customHeight="1">
      <c r="B92" s="691"/>
      <c r="C92" s="204">
        <f t="shared" si="2"/>
        <v>74</v>
      </c>
      <c r="D92" s="673"/>
      <c r="E92" s="715"/>
      <c r="F92" s="250"/>
      <c r="G92" s="342">
        <v>0</v>
      </c>
      <c r="H92" s="343">
        <f t="shared" si="3"/>
        <v>0</v>
      </c>
    </row>
    <row r="93" spans="2:8" ht="14.25" customHeight="1">
      <c r="B93" s="691"/>
      <c r="C93" s="204">
        <f t="shared" si="2"/>
        <v>75</v>
      </c>
      <c r="D93" s="594"/>
      <c r="E93" s="715"/>
      <c r="F93" s="250"/>
      <c r="G93" s="342">
        <v>0</v>
      </c>
      <c r="H93" s="343">
        <f t="shared" si="3"/>
        <v>0</v>
      </c>
    </row>
    <row r="94" spans="2:8" ht="14.25" customHeight="1">
      <c r="B94" s="691"/>
      <c r="C94" s="204">
        <f t="shared" si="2"/>
        <v>76</v>
      </c>
      <c r="D94" s="594"/>
      <c r="E94" s="715"/>
      <c r="F94" s="250"/>
      <c r="G94" s="342">
        <v>0</v>
      </c>
      <c r="H94" s="343">
        <f t="shared" si="3"/>
        <v>0</v>
      </c>
    </row>
    <row r="95" spans="2:8" ht="14.25" customHeight="1">
      <c r="B95" s="691"/>
      <c r="C95" s="204">
        <f t="shared" si="2"/>
        <v>77</v>
      </c>
      <c r="D95" s="594"/>
      <c r="E95" s="715"/>
      <c r="F95" s="250"/>
      <c r="G95" s="342">
        <v>0</v>
      </c>
      <c r="H95" s="343">
        <f t="shared" si="3"/>
        <v>0</v>
      </c>
    </row>
    <row r="96" spans="2:8" ht="14.25" customHeight="1">
      <c r="B96" s="691"/>
      <c r="C96" s="204">
        <f t="shared" si="2"/>
        <v>78</v>
      </c>
      <c r="D96" s="674"/>
      <c r="E96" s="715"/>
      <c r="F96" s="250"/>
      <c r="G96" s="342">
        <v>0</v>
      </c>
      <c r="H96" s="343">
        <f t="shared" si="3"/>
        <v>0</v>
      </c>
    </row>
    <row r="97" spans="2:8" ht="14.25" customHeight="1">
      <c r="B97" s="691"/>
      <c r="C97" s="204">
        <f t="shared" si="2"/>
        <v>79</v>
      </c>
      <c r="D97" s="674"/>
      <c r="E97" s="715"/>
      <c r="F97" s="250"/>
      <c r="G97" s="342">
        <v>0</v>
      </c>
      <c r="H97" s="343">
        <f t="shared" si="3"/>
        <v>0</v>
      </c>
    </row>
    <row r="98" spans="2:8" ht="14.25" customHeight="1">
      <c r="B98" s="691"/>
      <c r="C98" s="204">
        <f t="shared" si="2"/>
        <v>80</v>
      </c>
      <c r="D98" s="674"/>
      <c r="E98" s="715"/>
      <c r="F98" s="250"/>
      <c r="G98" s="342">
        <v>0</v>
      </c>
      <c r="H98" s="343">
        <f t="shared" si="3"/>
        <v>0</v>
      </c>
    </row>
    <row r="99" spans="2:8" ht="14.25" customHeight="1">
      <c r="B99" s="691"/>
      <c r="C99" s="204">
        <f t="shared" si="2"/>
        <v>81</v>
      </c>
      <c r="D99" s="674"/>
      <c r="E99" s="715"/>
      <c r="F99" s="250"/>
      <c r="G99" s="342">
        <v>0</v>
      </c>
      <c r="H99" s="343">
        <f t="shared" si="3"/>
        <v>0</v>
      </c>
    </row>
    <row r="100" spans="2:8" ht="14.25" customHeight="1">
      <c r="B100" s="691"/>
      <c r="C100" s="204">
        <f t="shared" si="2"/>
        <v>82</v>
      </c>
      <c r="D100" s="594"/>
      <c r="E100" s="715"/>
      <c r="F100" s="250"/>
      <c r="G100" s="342">
        <v>0</v>
      </c>
      <c r="H100" s="343">
        <f t="shared" si="3"/>
        <v>0</v>
      </c>
    </row>
    <row r="101" spans="2:8" ht="14.25" customHeight="1">
      <c r="B101" s="691"/>
      <c r="C101" s="204">
        <f t="shared" si="2"/>
        <v>83</v>
      </c>
      <c r="D101" s="594"/>
      <c r="E101" s="715"/>
      <c r="F101" s="250"/>
      <c r="G101" s="342">
        <v>0</v>
      </c>
      <c r="H101" s="343">
        <f t="shared" si="3"/>
        <v>0</v>
      </c>
    </row>
    <row r="102" spans="2:8" ht="14.25" customHeight="1">
      <c r="B102" s="691"/>
      <c r="C102" s="204">
        <f t="shared" si="2"/>
        <v>84</v>
      </c>
      <c r="D102" s="594"/>
      <c r="E102" s="715"/>
      <c r="F102" s="250"/>
      <c r="G102" s="342">
        <v>0</v>
      </c>
      <c r="H102" s="343">
        <f t="shared" si="3"/>
        <v>0</v>
      </c>
    </row>
    <row r="103" spans="2:8" ht="14.25" customHeight="1">
      <c r="B103" s="691"/>
      <c r="C103" s="204">
        <f t="shared" si="2"/>
        <v>85</v>
      </c>
      <c r="D103" s="594"/>
      <c r="E103" s="715"/>
      <c r="F103" s="250"/>
      <c r="G103" s="342">
        <v>0</v>
      </c>
      <c r="H103" s="343">
        <f t="shared" si="3"/>
        <v>0</v>
      </c>
    </row>
    <row r="104" spans="2:8" ht="14.25" customHeight="1">
      <c r="B104" s="691"/>
      <c r="C104" s="204">
        <f t="shared" si="2"/>
        <v>86</v>
      </c>
      <c r="E104" s="715"/>
      <c r="F104" s="250"/>
      <c r="G104" s="342">
        <v>0</v>
      </c>
      <c r="H104" s="343">
        <f t="shared" si="3"/>
        <v>0</v>
      </c>
    </row>
    <row r="105" spans="2:8" ht="14.25" customHeight="1">
      <c r="B105" s="691"/>
      <c r="C105" s="204">
        <f t="shared" si="2"/>
        <v>87</v>
      </c>
      <c r="E105" s="715"/>
      <c r="F105" s="250"/>
      <c r="G105" s="342">
        <v>0</v>
      </c>
      <c r="H105" s="343">
        <f t="shared" si="3"/>
        <v>0</v>
      </c>
    </row>
    <row r="106" spans="2:8" ht="14.25" customHeight="1">
      <c r="B106" s="691"/>
      <c r="C106" s="204">
        <f t="shared" si="2"/>
        <v>88</v>
      </c>
      <c r="E106" s="715"/>
      <c r="F106" s="250"/>
      <c r="G106" s="342">
        <v>0</v>
      </c>
      <c r="H106" s="343">
        <f t="shared" si="3"/>
        <v>0</v>
      </c>
    </row>
    <row r="107" spans="2:8" ht="14.25" customHeight="1">
      <c r="B107" s="691"/>
      <c r="C107" s="204">
        <f t="shared" si="2"/>
        <v>89</v>
      </c>
      <c r="E107" s="715"/>
      <c r="F107" s="250"/>
      <c r="G107" s="342">
        <v>0</v>
      </c>
      <c r="H107" s="343">
        <f t="shared" si="3"/>
        <v>0</v>
      </c>
    </row>
    <row r="108" spans="2:8" ht="14.25" customHeight="1">
      <c r="B108" s="690"/>
      <c r="C108" s="204">
        <f t="shared" si="2"/>
        <v>90</v>
      </c>
      <c r="D108" s="74"/>
      <c r="E108" s="716"/>
      <c r="F108" s="392"/>
      <c r="G108" s="342">
        <v>0</v>
      </c>
      <c r="H108" s="343">
        <f t="shared" si="3"/>
        <v>0</v>
      </c>
    </row>
    <row r="109" spans="2:8" ht="14.25" customHeight="1">
      <c r="B109" s="692"/>
      <c r="C109" s="204">
        <f t="shared" si="2"/>
        <v>91</v>
      </c>
      <c r="D109" s="74"/>
      <c r="E109" s="715"/>
      <c r="F109" s="391"/>
      <c r="G109" s="342">
        <v>0</v>
      </c>
      <c r="H109" s="343">
        <f t="shared" si="3"/>
        <v>0</v>
      </c>
    </row>
    <row r="110" spans="2:8" ht="14.25" customHeight="1">
      <c r="B110" s="692"/>
      <c r="C110" s="204">
        <f t="shared" si="2"/>
        <v>92</v>
      </c>
      <c r="D110" s="74"/>
      <c r="E110" s="715"/>
      <c r="F110" s="391"/>
      <c r="G110" s="342">
        <v>0</v>
      </c>
      <c r="H110" s="343">
        <f t="shared" si="3"/>
        <v>0</v>
      </c>
    </row>
    <row r="111" spans="2:8" ht="14.25" customHeight="1">
      <c r="B111" s="692"/>
      <c r="C111" s="204">
        <f t="shared" si="2"/>
        <v>93</v>
      </c>
      <c r="D111" s="673"/>
      <c r="E111" s="715"/>
      <c r="F111" s="391"/>
      <c r="G111" s="342">
        <v>0</v>
      </c>
      <c r="H111" s="343">
        <f t="shared" si="3"/>
        <v>0</v>
      </c>
    </row>
    <row r="112" spans="2:8" ht="14.25" customHeight="1">
      <c r="B112" s="692"/>
      <c r="C112" s="204">
        <f t="shared" si="2"/>
        <v>94</v>
      </c>
      <c r="D112" s="673"/>
      <c r="E112" s="715"/>
      <c r="F112" s="391"/>
      <c r="G112" s="342">
        <v>0</v>
      </c>
      <c r="H112" s="343">
        <f t="shared" si="3"/>
        <v>0</v>
      </c>
    </row>
    <row r="113" spans="2:9" ht="14.25" customHeight="1">
      <c r="B113" s="688"/>
      <c r="C113" s="204">
        <f t="shared" si="2"/>
        <v>95</v>
      </c>
      <c r="D113" s="672"/>
      <c r="E113" s="715"/>
      <c r="F113" s="250"/>
      <c r="G113" s="342">
        <v>0</v>
      </c>
      <c r="H113" s="343">
        <f t="shared" si="3"/>
        <v>0</v>
      </c>
    </row>
    <row r="114" spans="2:9" ht="14.25" customHeight="1">
      <c r="B114" s="693"/>
      <c r="C114" s="204">
        <f t="shared" si="2"/>
        <v>96</v>
      </c>
      <c r="D114" s="673"/>
      <c r="E114" s="716"/>
      <c r="F114" s="392"/>
      <c r="G114" s="342">
        <v>0</v>
      </c>
      <c r="H114" s="343">
        <f t="shared" si="3"/>
        <v>0</v>
      </c>
    </row>
    <row r="115" spans="2:9" ht="14.25" customHeight="1">
      <c r="B115" s="692"/>
      <c r="C115" s="204">
        <f t="shared" si="2"/>
        <v>97</v>
      </c>
      <c r="D115" s="594"/>
      <c r="E115" s="716"/>
      <c r="F115" s="391"/>
      <c r="G115" s="342">
        <v>0</v>
      </c>
      <c r="H115" s="343">
        <f t="shared" si="3"/>
        <v>0</v>
      </c>
    </row>
    <row r="116" spans="2:9" ht="14.25" customHeight="1">
      <c r="B116" s="692"/>
      <c r="C116" s="204">
        <f t="shared" si="2"/>
        <v>98</v>
      </c>
      <c r="D116" s="594"/>
      <c r="E116" s="716"/>
      <c r="F116" s="391"/>
      <c r="G116" s="342">
        <v>0</v>
      </c>
      <c r="H116" s="343">
        <f t="shared" si="3"/>
        <v>0</v>
      </c>
    </row>
    <row r="117" spans="2:9" ht="14.25" customHeight="1">
      <c r="B117" s="692"/>
      <c r="C117" s="204">
        <f t="shared" si="2"/>
        <v>99</v>
      </c>
      <c r="D117" s="594"/>
      <c r="E117" s="716"/>
      <c r="F117" s="391"/>
      <c r="G117" s="342">
        <v>0</v>
      </c>
      <c r="H117" s="343">
        <f t="shared" si="3"/>
        <v>0</v>
      </c>
    </row>
    <row r="118" spans="2:9" ht="14.25" customHeight="1">
      <c r="B118" s="692"/>
      <c r="C118" s="204">
        <f t="shared" si="2"/>
        <v>100</v>
      </c>
      <c r="D118" s="594"/>
      <c r="E118" s="716"/>
      <c r="F118" s="391"/>
      <c r="G118" s="342">
        <v>0</v>
      </c>
      <c r="H118" s="343">
        <f t="shared" si="3"/>
        <v>0</v>
      </c>
    </row>
    <row r="119" spans="2:9" ht="14.25" customHeight="1">
      <c r="B119" s="692"/>
      <c r="C119" s="204">
        <f t="shared" si="2"/>
        <v>101</v>
      </c>
      <c r="D119" s="594"/>
      <c r="E119" s="716"/>
      <c r="F119" s="391"/>
      <c r="G119" s="342">
        <v>0</v>
      </c>
      <c r="H119" s="343">
        <f t="shared" si="3"/>
        <v>0</v>
      </c>
    </row>
    <row r="120" spans="2:9" ht="14.25" customHeight="1">
      <c r="B120" s="684"/>
      <c r="C120" s="204">
        <f t="shared" si="2"/>
        <v>102</v>
      </c>
      <c r="D120" s="394"/>
      <c r="E120" s="713"/>
      <c r="F120" s="392"/>
      <c r="G120" s="342">
        <v>0</v>
      </c>
      <c r="H120" s="343">
        <f t="shared" si="3"/>
        <v>0</v>
      </c>
    </row>
    <row r="121" spans="2:9" ht="14.25" customHeight="1">
      <c r="B121" s="684"/>
      <c r="C121" s="204">
        <f t="shared" si="2"/>
        <v>103</v>
      </c>
      <c r="D121" s="394"/>
      <c r="E121" s="713"/>
      <c r="F121" s="392"/>
      <c r="G121" s="342">
        <v>0</v>
      </c>
      <c r="H121" s="343">
        <f t="shared" si="3"/>
        <v>0</v>
      </c>
    </row>
    <row r="122" spans="2:9" ht="14.25" customHeight="1">
      <c r="B122" s="686"/>
      <c r="C122" s="204">
        <f t="shared" si="2"/>
        <v>104</v>
      </c>
      <c r="D122" s="394"/>
      <c r="E122" s="713"/>
      <c r="F122" s="392"/>
      <c r="G122" s="342">
        <v>0</v>
      </c>
      <c r="H122" s="343">
        <f t="shared" si="3"/>
        <v>0</v>
      </c>
      <c r="I122" s="131"/>
    </row>
    <row r="123" spans="2:9" ht="14.25" customHeight="1">
      <c r="B123" s="683"/>
      <c r="C123" s="204">
        <f t="shared" si="2"/>
        <v>105</v>
      </c>
      <c r="D123" s="394"/>
      <c r="E123" s="713"/>
      <c r="F123" s="392"/>
      <c r="G123" s="342">
        <v>0</v>
      </c>
      <c r="H123" s="343">
        <f t="shared" si="3"/>
        <v>0</v>
      </c>
    </row>
    <row r="124" spans="2:9" ht="14.25" customHeight="1">
      <c r="B124" s="682"/>
      <c r="C124" s="204">
        <f t="shared" si="2"/>
        <v>106</v>
      </c>
      <c r="D124" s="23"/>
      <c r="E124" s="717"/>
      <c r="F124" s="250"/>
      <c r="G124" s="342">
        <v>0</v>
      </c>
      <c r="H124" s="343">
        <f t="shared" si="3"/>
        <v>0</v>
      </c>
    </row>
    <row r="125" spans="2:9" ht="14.25" customHeight="1">
      <c r="B125" s="694"/>
      <c r="C125" s="204">
        <f t="shared" si="2"/>
        <v>107</v>
      </c>
      <c r="D125" s="23"/>
      <c r="E125" s="717"/>
      <c r="F125" s="559"/>
      <c r="G125" s="342">
        <v>0</v>
      </c>
      <c r="H125" s="343">
        <f t="shared" si="3"/>
        <v>0</v>
      </c>
    </row>
    <row r="126" spans="2:9" ht="14.25" customHeight="1">
      <c r="B126" s="692"/>
      <c r="C126" s="204">
        <f t="shared" si="2"/>
        <v>108</v>
      </c>
      <c r="E126" s="713"/>
      <c r="F126" s="391"/>
      <c r="G126" s="342">
        <v>0</v>
      </c>
      <c r="H126" s="343">
        <f t="shared" si="3"/>
        <v>0</v>
      </c>
    </row>
    <row r="127" spans="2:9" ht="14.25" customHeight="1">
      <c r="B127" s="692"/>
      <c r="C127" s="204">
        <f t="shared" si="2"/>
        <v>109</v>
      </c>
      <c r="E127" s="713"/>
      <c r="F127" s="391"/>
      <c r="G127" s="342">
        <v>0</v>
      </c>
      <c r="H127" s="343">
        <f t="shared" si="3"/>
        <v>0</v>
      </c>
    </row>
    <row r="128" spans="2:9" ht="14.25" customHeight="1">
      <c r="B128" s="692"/>
      <c r="C128" s="204">
        <f t="shared" si="2"/>
        <v>110</v>
      </c>
      <c r="E128" s="713"/>
      <c r="F128" s="391"/>
      <c r="G128" s="342">
        <v>0</v>
      </c>
      <c r="H128" s="343">
        <f t="shared" si="3"/>
        <v>0</v>
      </c>
    </row>
    <row r="129" spans="2:8" ht="14.25" customHeight="1">
      <c r="B129" s="692"/>
      <c r="C129" s="204">
        <f t="shared" si="2"/>
        <v>111</v>
      </c>
      <c r="E129" s="717"/>
      <c r="F129" s="391"/>
      <c r="G129" s="342">
        <v>0</v>
      </c>
      <c r="H129" s="343">
        <f t="shared" si="3"/>
        <v>0</v>
      </c>
    </row>
    <row r="130" spans="2:8" ht="14.25" customHeight="1">
      <c r="B130" s="692"/>
      <c r="C130" s="204">
        <f t="shared" si="2"/>
        <v>112</v>
      </c>
      <c r="E130" s="717"/>
      <c r="F130" s="391"/>
      <c r="G130" s="342">
        <v>0</v>
      </c>
      <c r="H130" s="343">
        <f t="shared" si="3"/>
        <v>0</v>
      </c>
    </row>
    <row r="131" spans="2:8" ht="14.25" customHeight="1">
      <c r="B131" s="692"/>
      <c r="C131" s="204">
        <f t="shared" si="2"/>
        <v>113</v>
      </c>
      <c r="E131" s="717"/>
      <c r="F131" s="391"/>
      <c r="G131" s="342">
        <v>0</v>
      </c>
      <c r="H131" s="343">
        <f t="shared" si="3"/>
        <v>0</v>
      </c>
    </row>
    <row r="132" spans="2:8" ht="14.25" customHeight="1">
      <c r="B132" s="692"/>
      <c r="C132" s="204">
        <f t="shared" si="2"/>
        <v>114</v>
      </c>
      <c r="E132" s="717"/>
      <c r="F132" s="391"/>
      <c r="G132" s="342">
        <v>0</v>
      </c>
      <c r="H132" s="343">
        <f t="shared" si="3"/>
        <v>0</v>
      </c>
    </row>
    <row r="133" spans="2:8" ht="14.25" customHeight="1">
      <c r="B133" s="692"/>
      <c r="C133" s="204">
        <f t="shared" si="2"/>
        <v>115</v>
      </c>
      <c r="E133" s="717"/>
      <c r="F133" s="391"/>
      <c r="G133" s="342">
        <v>0</v>
      </c>
      <c r="H133" s="343">
        <f t="shared" si="3"/>
        <v>0</v>
      </c>
    </row>
    <row r="134" spans="2:8" ht="14.25" customHeight="1">
      <c r="B134" s="692"/>
      <c r="C134" s="204">
        <f t="shared" si="2"/>
        <v>116</v>
      </c>
      <c r="E134" s="717"/>
      <c r="F134" s="391"/>
      <c r="G134" s="342">
        <v>0</v>
      </c>
      <c r="H134" s="343">
        <f t="shared" si="3"/>
        <v>0</v>
      </c>
    </row>
    <row r="135" spans="2:8" ht="14.25" customHeight="1">
      <c r="B135" s="692"/>
      <c r="C135" s="204">
        <f t="shared" si="2"/>
        <v>117</v>
      </c>
      <c r="E135" s="717"/>
      <c r="F135" s="391"/>
      <c r="G135" s="342">
        <v>0</v>
      </c>
      <c r="H135" s="343">
        <f t="shared" si="3"/>
        <v>0</v>
      </c>
    </row>
    <row r="136" spans="2:8" ht="14.25" customHeight="1">
      <c r="B136" s="692"/>
      <c r="C136" s="204">
        <f t="shared" si="2"/>
        <v>118</v>
      </c>
      <c r="E136" s="717"/>
      <c r="F136" s="391"/>
      <c r="G136" s="342">
        <v>0</v>
      </c>
      <c r="H136" s="343">
        <f t="shared" si="3"/>
        <v>0</v>
      </c>
    </row>
    <row r="137" spans="2:8" ht="14.25" customHeight="1">
      <c r="B137" s="692"/>
      <c r="C137" s="204">
        <f t="shared" si="2"/>
        <v>119</v>
      </c>
      <c r="E137" s="717"/>
      <c r="F137" s="391"/>
      <c r="G137" s="342">
        <v>0</v>
      </c>
      <c r="H137" s="343">
        <f t="shared" si="3"/>
        <v>0</v>
      </c>
    </row>
    <row r="138" spans="2:8" ht="14.25" customHeight="1">
      <c r="B138" s="692"/>
      <c r="C138" s="204">
        <f t="shared" si="2"/>
        <v>120</v>
      </c>
      <c r="E138" s="717"/>
      <c r="F138" s="391"/>
      <c r="G138" s="342">
        <v>0</v>
      </c>
      <c r="H138" s="343">
        <f t="shared" si="3"/>
        <v>0</v>
      </c>
    </row>
    <row r="139" spans="2:8" ht="14.25" customHeight="1">
      <c r="B139" s="692"/>
      <c r="C139" s="204">
        <f t="shared" si="2"/>
        <v>121</v>
      </c>
      <c r="E139" s="717"/>
      <c r="F139" s="391"/>
      <c r="G139" s="342">
        <v>0</v>
      </c>
      <c r="H139" s="343">
        <f t="shared" si="3"/>
        <v>0</v>
      </c>
    </row>
    <row r="140" spans="2:8" ht="14.25" customHeight="1">
      <c r="B140" s="692"/>
      <c r="C140" s="204">
        <f t="shared" si="2"/>
        <v>122</v>
      </c>
      <c r="E140" s="717"/>
      <c r="F140" s="391"/>
      <c r="G140" s="342">
        <v>0</v>
      </c>
      <c r="H140" s="343">
        <f t="shared" si="3"/>
        <v>0</v>
      </c>
    </row>
    <row r="141" spans="2:8" ht="14.25" customHeight="1">
      <c r="B141" s="692"/>
      <c r="C141" s="204">
        <f t="shared" si="2"/>
        <v>123</v>
      </c>
      <c r="E141" s="717"/>
      <c r="F141" s="391"/>
      <c r="G141" s="342">
        <v>0</v>
      </c>
      <c r="H141" s="343">
        <f t="shared" si="3"/>
        <v>0</v>
      </c>
    </row>
    <row r="142" spans="2:8" ht="14.25" customHeight="1">
      <c r="B142" s="692"/>
      <c r="C142" s="204">
        <f t="shared" si="2"/>
        <v>124</v>
      </c>
      <c r="E142" s="717"/>
      <c r="F142" s="391"/>
      <c r="G142" s="342">
        <v>0</v>
      </c>
      <c r="H142" s="343">
        <f t="shared" si="3"/>
        <v>0</v>
      </c>
    </row>
    <row r="143" spans="2:8">
      <c r="B143" s="692"/>
      <c r="C143" s="204">
        <f t="shared" si="2"/>
        <v>125</v>
      </c>
      <c r="D143" s="594"/>
      <c r="E143" s="717"/>
      <c r="F143" s="391"/>
      <c r="G143" s="342">
        <v>0</v>
      </c>
      <c r="H143" s="343">
        <f t="shared" si="3"/>
        <v>0</v>
      </c>
    </row>
    <row r="144" spans="2:8" ht="14.25" customHeight="1">
      <c r="B144" s="682"/>
      <c r="C144" s="204">
        <f t="shared" si="2"/>
        <v>126</v>
      </c>
      <c r="D144" s="594"/>
      <c r="E144" s="717"/>
      <c r="F144" s="250"/>
      <c r="G144" s="342">
        <v>0</v>
      </c>
      <c r="H144" s="343">
        <f t="shared" si="3"/>
        <v>0</v>
      </c>
    </row>
    <row r="145" spans="2:8" ht="14.25" customHeight="1">
      <c r="B145" s="682"/>
      <c r="C145" s="204">
        <f t="shared" si="2"/>
        <v>127</v>
      </c>
      <c r="D145" s="594"/>
      <c r="E145" s="717"/>
      <c r="F145" s="250"/>
      <c r="G145" s="342">
        <v>0</v>
      </c>
      <c r="H145" s="343">
        <f t="shared" si="3"/>
        <v>0</v>
      </c>
    </row>
    <row r="146" spans="2:8" ht="14.25" customHeight="1">
      <c r="B146" s="682"/>
      <c r="C146" s="204">
        <f t="shared" si="2"/>
        <v>128</v>
      </c>
      <c r="D146" s="594"/>
      <c r="E146" s="717"/>
      <c r="F146" s="250"/>
      <c r="G146" s="342">
        <v>0</v>
      </c>
      <c r="H146" s="343">
        <f t="shared" si="3"/>
        <v>0</v>
      </c>
    </row>
    <row r="147" spans="2:8" ht="14.25" customHeight="1">
      <c r="B147" s="682"/>
      <c r="C147" s="204">
        <f t="shared" si="2"/>
        <v>129</v>
      </c>
      <c r="D147" s="594"/>
      <c r="E147" s="711"/>
      <c r="F147" s="250"/>
      <c r="G147" s="342">
        <v>0</v>
      </c>
      <c r="H147" s="343">
        <f t="shared" si="3"/>
        <v>0</v>
      </c>
    </row>
    <row r="148" spans="2:8" ht="14.25" customHeight="1">
      <c r="B148" s="682"/>
      <c r="C148" s="204">
        <f t="shared" si="2"/>
        <v>130</v>
      </c>
      <c r="D148" s="594"/>
      <c r="E148" s="711"/>
      <c r="F148" s="250"/>
      <c r="G148" s="342">
        <v>0</v>
      </c>
      <c r="H148" s="343">
        <f t="shared" si="3"/>
        <v>0</v>
      </c>
    </row>
    <row r="149" spans="2:8" ht="14.25" customHeight="1">
      <c r="B149" s="682"/>
      <c r="C149" s="204">
        <f t="shared" ref="C149:C195" si="4">C148+1</f>
        <v>131</v>
      </c>
      <c r="D149" s="594"/>
      <c r="E149" s="711"/>
      <c r="F149" s="250"/>
      <c r="G149" s="342">
        <v>0</v>
      </c>
      <c r="H149" s="343">
        <f t="shared" ref="H149:H195" si="5">F149+G149</f>
        <v>0</v>
      </c>
    </row>
    <row r="150" spans="2:8" ht="14.25" customHeight="1">
      <c r="B150" s="682"/>
      <c r="C150" s="204">
        <f t="shared" si="4"/>
        <v>132</v>
      </c>
      <c r="D150" s="594"/>
      <c r="E150" s="711"/>
      <c r="F150" s="250"/>
      <c r="G150" s="342">
        <v>0</v>
      </c>
      <c r="H150" s="343">
        <f t="shared" si="5"/>
        <v>0</v>
      </c>
    </row>
    <row r="151" spans="2:8" ht="14.25" customHeight="1">
      <c r="B151" s="682"/>
      <c r="C151" s="204">
        <f t="shared" si="4"/>
        <v>133</v>
      </c>
      <c r="D151" s="594"/>
      <c r="E151" s="711"/>
      <c r="F151" s="250"/>
      <c r="G151" s="342">
        <v>0</v>
      </c>
      <c r="H151" s="343">
        <f t="shared" si="5"/>
        <v>0</v>
      </c>
    </row>
    <row r="152" spans="2:8" ht="14.25" customHeight="1">
      <c r="B152" s="682"/>
      <c r="C152" s="204">
        <f t="shared" si="4"/>
        <v>134</v>
      </c>
      <c r="D152" s="594"/>
      <c r="E152" s="711"/>
      <c r="F152" s="250"/>
      <c r="G152" s="342">
        <v>0</v>
      </c>
      <c r="H152" s="343">
        <f t="shared" si="5"/>
        <v>0</v>
      </c>
    </row>
    <row r="153" spans="2:8" ht="14.25" customHeight="1">
      <c r="B153" s="682"/>
      <c r="C153" s="204">
        <f t="shared" si="4"/>
        <v>135</v>
      </c>
      <c r="D153" s="675"/>
      <c r="E153" s="711"/>
      <c r="F153" s="250"/>
      <c r="G153" s="342">
        <v>0</v>
      </c>
      <c r="H153" s="343">
        <f t="shared" si="5"/>
        <v>0</v>
      </c>
    </row>
    <row r="154" spans="2:8" ht="14.25" customHeight="1">
      <c r="B154" s="682"/>
      <c r="C154" s="204">
        <f t="shared" si="4"/>
        <v>136</v>
      </c>
      <c r="D154" s="674"/>
      <c r="E154" s="711"/>
      <c r="F154" s="250"/>
      <c r="G154" s="342">
        <v>0</v>
      </c>
      <c r="H154" s="343">
        <f t="shared" si="5"/>
        <v>0</v>
      </c>
    </row>
    <row r="155" spans="2:8" ht="14.25" customHeight="1">
      <c r="B155" s="606"/>
      <c r="C155" s="204">
        <f t="shared" si="4"/>
        <v>137</v>
      </c>
      <c r="D155" s="674"/>
      <c r="E155" s="711"/>
      <c r="F155" s="250"/>
      <c r="G155" s="342">
        <v>0</v>
      </c>
      <c r="H155" s="343">
        <f t="shared" si="5"/>
        <v>0</v>
      </c>
    </row>
    <row r="156" spans="2:8">
      <c r="B156" s="695"/>
      <c r="C156" s="204">
        <f t="shared" si="4"/>
        <v>138</v>
      </c>
      <c r="D156" s="674"/>
      <c r="E156" s="711"/>
      <c r="F156" s="559"/>
      <c r="G156" s="342">
        <v>0</v>
      </c>
      <c r="H156" s="343">
        <f t="shared" si="5"/>
        <v>0</v>
      </c>
    </row>
    <row r="157" spans="2:8" ht="14.25" customHeight="1">
      <c r="B157" s="690"/>
      <c r="C157" s="204">
        <f t="shared" si="4"/>
        <v>139</v>
      </c>
      <c r="D157" s="674"/>
      <c r="E157" s="711"/>
      <c r="F157" s="392"/>
      <c r="G157" s="342">
        <v>0</v>
      </c>
      <c r="H157" s="343">
        <f t="shared" si="5"/>
        <v>0</v>
      </c>
    </row>
    <row r="158" spans="2:8" ht="14.25" customHeight="1">
      <c r="B158" s="606"/>
      <c r="C158" s="204">
        <f t="shared" si="4"/>
        <v>140</v>
      </c>
      <c r="D158" s="594"/>
      <c r="E158" s="715"/>
      <c r="F158" s="250"/>
      <c r="G158" s="342">
        <v>0</v>
      </c>
      <c r="H158" s="343">
        <f t="shared" si="5"/>
        <v>0</v>
      </c>
    </row>
    <row r="159" spans="2:8" ht="14.25" customHeight="1">
      <c r="B159" s="682"/>
      <c r="C159" s="204">
        <f t="shared" si="4"/>
        <v>141</v>
      </c>
      <c r="D159" s="594"/>
      <c r="E159" s="715"/>
      <c r="F159" s="250"/>
      <c r="G159" s="342">
        <v>0</v>
      </c>
      <c r="H159" s="343">
        <f t="shared" si="5"/>
        <v>0</v>
      </c>
    </row>
    <row r="160" spans="2:8" ht="14.25" customHeight="1">
      <c r="B160" s="682"/>
      <c r="C160" s="204">
        <f t="shared" si="4"/>
        <v>142</v>
      </c>
      <c r="D160" s="594"/>
      <c r="E160" s="715"/>
      <c r="F160" s="250"/>
      <c r="G160" s="342">
        <v>0</v>
      </c>
      <c r="H160" s="343">
        <f t="shared" si="5"/>
        <v>0</v>
      </c>
    </row>
    <row r="161" spans="2:8" ht="14.25" customHeight="1">
      <c r="B161" s="682"/>
      <c r="C161" s="204">
        <f t="shared" si="4"/>
        <v>143</v>
      </c>
      <c r="D161" s="594"/>
      <c r="E161" s="715"/>
      <c r="F161" s="250"/>
      <c r="G161" s="342">
        <v>0</v>
      </c>
      <c r="H161" s="343">
        <f t="shared" si="5"/>
        <v>0</v>
      </c>
    </row>
    <row r="162" spans="2:8" ht="14.25" customHeight="1">
      <c r="B162" s="682"/>
      <c r="C162" s="204">
        <f t="shared" si="4"/>
        <v>144</v>
      </c>
      <c r="D162" s="594"/>
      <c r="E162" s="715"/>
      <c r="F162" s="250"/>
      <c r="G162" s="342">
        <v>0</v>
      </c>
      <c r="H162" s="343">
        <f t="shared" si="5"/>
        <v>0</v>
      </c>
    </row>
    <row r="163" spans="2:8" ht="14.25" customHeight="1">
      <c r="B163" s="682"/>
      <c r="C163" s="204">
        <f t="shared" si="4"/>
        <v>145</v>
      </c>
      <c r="D163" s="594"/>
      <c r="E163" s="715"/>
      <c r="F163" s="250"/>
      <c r="G163" s="342">
        <v>0</v>
      </c>
      <c r="H163" s="343">
        <f t="shared" si="5"/>
        <v>0</v>
      </c>
    </row>
    <row r="164" spans="2:8" ht="14.25" customHeight="1">
      <c r="B164" s="696"/>
      <c r="C164" s="204">
        <f t="shared" si="4"/>
        <v>146</v>
      </c>
      <c r="D164" s="594"/>
      <c r="E164" s="712"/>
      <c r="F164" s="392"/>
      <c r="G164" s="342">
        <v>0</v>
      </c>
      <c r="H164" s="343">
        <f t="shared" si="5"/>
        <v>0</v>
      </c>
    </row>
    <row r="165" spans="2:8" ht="14.25" customHeight="1">
      <c r="B165" s="696"/>
      <c r="C165" s="204">
        <f t="shared" si="4"/>
        <v>147</v>
      </c>
      <c r="D165" s="594"/>
      <c r="E165" s="712"/>
      <c r="F165" s="392"/>
      <c r="G165" s="342">
        <v>0</v>
      </c>
      <c r="H165" s="343">
        <f t="shared" si="5"/>
        <v>0</v>
      </c>
    </row>
    <row r="166" spans="2:8" ht="14.25" customHeight="1">
      <c r="B166" s="684"/>
      <c r="C166" s="204">
        <f t="shared" si="4"/>
        <v>148</v>
      </c>
      <c r="D166" s="594"/>
      <c r="E166" s="712"/>
      <c r="F166" s="392"/>
      <c r="G166" s="342">
        <v>0</v>
      </c>
      <c r="H166" s="343">
        <f t="shared" si="5"/>
        <v>0</v>
      </c>
    </row>
    <row r="167" spans="2:8" ht="14.25" customHeight="1">
      <c r="B167" s="684"/>
      <c r="C167" s="204">
        <f t="shared" si="4"/>
        <v>149</v>
      </c>
      <c r="D167" s="594"/>
      <c r="E167" s="712"/>
      <c r="F167" s="392"/>
      <c r="G167" s="342">
        <v>0</v>
      </c>
      <c r="H167" s="343">
        <f t="shared" si="5"/>
        <v>0</v>
      </c>
    </row>
    <row r="168" spans="2:8" ht="14.25" customHeight="1">
      <c r="B168" s="697"/>
      <c r="C168" s="204">
        <f t="shared" si="4"/>
        <v>150</v>
      </c>
      <c r="D168" s="594"/>
      <c r="E168" s="715"/>
      <c r="F168" s="392"/>
      <c r="G168" s="342">
        <v>0</v>
      </c>
      <c r="H168" s="343">
        <f t="shared" si="5"/>
        <v>0</v>
      </c>
    </row>
    <row r="169" spans="2:8" ht="14.25" customHeight="1">
      <c r="B169" s="698"/>
      <c r="C169" s="204">
        <f t="shared" si="4"/>
        <v>151</v>
      </c>
      <c r="D169" s="594"/>
      <c r="E169" s="715"/>
      <c r="F169" s="392"/>
      <c r="G169" s="342">
        <v>0</v>
      </c>
      <c r="H169" s="343">
        <f t="shared" si="5"/>
        <v>0</v>
      </c>
    </row>
    <row r="170" spans="2:8" ht="14.25" customHeight="1">
      <c r="B170" s="699"/>
      <c r="C170" s="204">
        <f t="shared" si="4"/>
        <v>152</v>
      </c>
      <c r="D170" s="594"/>
      <c r="E170" s="715"/>
      <c r="F170" s="559"/>
      <c r="G170" s="342">
        <v>0</v>
      </c>
      <c r="H170" s="343">
        <f t="shared" si="5"/>
        <v>0</v>
      </c>
    </row>
    <row r="171" spans="2:8" ht="14.25" customHeight="1">
      <c r="B171" s="606"/>
      <c r="C171" s="204">
        <f t="shared" si="4"/>
        <v>153</v>
      </c>
      <c r="D171" s="594"/>
      <c r="E171" s="715"/>
      <c r="F171" s="250"/>
      <c r="G171" s="342">
        <v>0</v>
      </c>
      <c r="H171" s="343">
        <f t="shared" si="5"/>
        <v>0</v>
      </c>
    </row>
    <row r="172" spans="2:8" ht="14.25" customHeight="1">
      <c r="B172" s="700"/>
      <c r="C172" s="204">
        <f t="shared" si="4"/>
        <v>154</v>
      </c>
      <c r="D172" s="594"/>
      <c r="E172" s="715"/>
      <c r="F172" s="392"/>
      <c r="G172" s="342">
        <v>0</v>
      </c>
      <c r="H172" s="343">
        <f t="shared" si="5"/>
        <v>0</v>
      </c>
    </row>
    <row r="173" spans="2:8" ht="14.25" customHeight="1">
      <c r="B173" s="606"/>
      <c r="C173" s="204">
        <f t="shared" si="4"/>
        <v>155</v>
      </c>
      <c r="D173" s="594"/>
      <c r="E173" s="715"/>
      <c r="F173" s="250"/>
      <c r="G173" s="342">
        <v>0</v>
      </c>
      <c r="H173" s="343">
        <f t="shared" si="5"/>
        <v>0</v>
      </c>
    </row>
    <row r="174" spans="2:8" ht="14.25" customHeight="1">
      <c r="B174" s="606"/>
      <c r="C174" s="204">
        <f t="shared" si="4"/>
        <v>156</v>
      </c>
      <c r="D174" s="594"/>
      <c r="E174" s="715"/>
      <c r="F174" s="250"/>
      <c r="G174" s="342">
        <v>0</v>
      </c>
      <c r="H174" s="343">
        <f t="shared" si="5"/>
        <v>0</v>
      </c>
    </row>
    <row r="175" spans="2:8" ht="14.25" customHeight="1">
      <c r="B175" s="606"/>
      <c r="C175" s="204">
        <f t="shared" si="4"/>
        <v>157</v>
      </c>
      <c r="D175" s="594"/>
      <c r="E175" s="715"/>
      <c r="F175" s="250"/>
      <c r="G175" s="342">
        <v>0</v>
      </c>
      <c r="H175" s="343">
        <f t="shared" si="5"/>
        <v>0</v>
      </c>
    </row>
    <row r="176" spans="2:8" ht="14.25" customHeight="1">
      <c r="B176" s="688"/>
      <c r="C176" s="204">
        <f t="shared" si="4"/>
        <v>158</v>
      </c>
      <c r="D176" s="672"/>
      <c r="E176" s="715"/>
      <c r="F176" s="250"/>
      <c r="G176" s="342">
        <v>0</v>
      </c>
      <c r="H176" s="343">
        <f t="shared" si="5"/>
        <v>0</v>
      </c>
    </row>
    <row r="177" spans="2:8" ht="14.25" customHeight="1">
      <c r="B177" s="684"/>
      <c r="C177" s="204">
        <f t="shared" si="4"/>
        <v>159</v>
      </c>
      <c r="D177" s="594"/>
      <c r="E177" s="712"/>
      <c r="F177" s="392"/>
      <c r="G177" s="342">
        <v>0</v>
      </c>
      <c r="H177" s="343">
        <f t="shared" si="5"/>
        <v>0</v>
      </c>
    </row>
    <row r="178" spans="2:8" ht="14.25" customHeight="1">
      <c r="B178" s="684"/>
      <c r="C178" s="204">
        <f t="shared" si="4"/>
        <v>160</v>
      </c>
      <c r="D178" s="594"/>
      <c r="E178" s="712"/>
      <c r="F178" s="392"/>
      <c r="G178" s="342">
        <v>0</v>
      </c>
      <c r="H178" s="343">
        <f t="shared" si="5"/>
        <v>0</v>
      </c>
    </row>
    <row r="179" spans="2:8" ht="14.25" customHeight="1">
      <c r="B179" s="684"/>
      <c r="C179" s="204">
        <f t="shared" si="4"/>
        <v>161</v>
      </c>
      <c r="D179" s="389"/>
      <c r="E179" s="712"/>
      <c r="F179" s="392"/>
      <c r="G179" s="342">
        <v>0</v>
      </c>
      <c r="H179" s="343">
        <f t="shared" si="5"/>
        <v>0</v>
      </c>
    </row>
    <row r="180" spans="2:8" ht="15" customHeight="1">
      <c r="B180" s="683"/>
      <c r="C180" s="204">
        <f t="shared" si="4"/>
        <v>162</v>
      </c>
      <c r="D180" s="389"/>
      <c r="E180" s="712"/>
      <c r="F180" s="391"/>
      <c r="G180" s="342">
        <v>0</v>
      </c>
      <c r="H180" s="343">
        <f t="shared" si="5"/>
        <v>0</v>
      </c>
    </row>
    <row r="181" spans="2:8" ht="15" customHeight="1">
      <c r="B181" s="692"/>
      <c r="C181" s="204">
        <f t="shared" si="4"/>
        <v>163</v>
      </c>
      <c r="D181" s="389"/>
      <c r="E181" s="718"/>
      <c r="F181" s="391"/>
      <c r="G181" s="342">
        <v>0</v>
      </c>
      <c r="H181" s="343">
        <f t="shared" si="5"/>
        <v>0</v>
      </c>
    </row>
    <row r="182" spans="2:8">
      <c r="B182" s="417"/>
      <c r="C182" s="204">
        <f t="shared" si="4"/>
        <v>164</v>
      </c>
      <c r="D182" s="389"/>
      <c r="E182" s="718"/>
      <c r="F182" s="392"/>
      <c r="G182" s="342">
        <v>0</v>
      </c>
      <c r="H182" s="343">
        <f t="shared" si="5"/>
        <v>0</v>
      </c>
    </row>
    <row r="183" spans="2:8">
      <c r="B183" s="701"/>
      <c r="C183" s="204">
        <f t="shared" si="4"/>
        <v>165</v>
      </c>
      <c r="E183" s="718"/>
      <c r="F183" s="391"/>
      <c r="G183" s="342">
        <v>0</v>
      </c>
      <c r="H183" s="343">
        <f t="shared" si="5"/>
        <v>0</v>
      </c>
    </row>
    <row r="184" spans="2:8">
      <c r="B184" s="541"/>
      <c r="C184" s="204">
        <f t="shared" si="4"/>
        <v>166</v>
      </c>
      <c r="E184" s="718"/>
      <c r="F184" s="392"/>
      <c r="G184" s="342">
        <v>0</v>
      </c>
      <c r="H184" s="343">
        <f t="shared" si="5"/>
        <v>0</v>
      </c>
    </row>
    <row r="185" spans="2:8">
      <c r="B185" s="541"/>
      <c r="C185" s="204">
        <f t="shared" si="4"/>
        <v>167</v>
      </c>
      <c r="E185" s="718"/>
      <c r="F185" s="392"/>
      <c r="G185" s="342">
        <v>0</v>
      </c>
      <c r="H185" s="343">
        <f t="shared" si="5"/>
        <v>0</v>
      </c>
    </row>
    <row r="186" spans="2:8">
      <c r="B186" s="689"/>
      <c r="C186" s="204">
        <f t="shared" si="4"/>
        <v>168</v>
      </c>
      <c r="E186" s="711"/>
      <c r="F186" s="250"/>
      <c r="G186" s="342">
        <v>0</v>
      </c>
      <c r="H186" s="343">
        <f t="shared" si="5"/>
        <v>0</v>
      </c>
    </row>
    <row r="187" spans="2:8">
      <c r="B187" s="606"/>
      <c r="C187" s="204">
        <f t="shared" si="4"/>
        <v>169</v>
      </c>
      <c r="E187" s="719"/>
      <c r="F187" s="391"/>
      <c r="G187" s="342">
        <v>0</v>
      </c>
      <c r="H187" s="343">
        <f t="shared" si="5"/>
        <v>0</v>
      </c>
    </row>
    <row r="188" spans="2:8">
      <c r="B188" s="417"/>
      <c r="C188" s="204">
        <f t="shared" si="4"/>
        <v>170</v>
      </c>
      <c r="E188" s="719"/>
      <c r="F188" s="392"/>
      <c r="G188" s="342">
        <v>0</v>
      </c>
      <c r="H188" s="343">
        <f t="shared" si="5"/>
        <v>0</v>
      </c>
    </row>
    <row r="189" spans="2:8">
      <c r="B189" s="692"/>
      <c r="C189" s="204">
        <f t="shared" si="4"/>
        <v>171</v>
      </c>
      <c r="D189" s="466"/>
      <c r="E189" s="720"/>
      <c r="F189" s="391"/>
      <c r="G189" s="342">
        <v>0</v>
      </c>
      <c r="H189" s="343">
        <f t="shared" si="5"/>
        <v>0</v>
      </c>
    </row>
    <row r="190" spans="2:8">
      <c r="B190" s="682"/>
      <c r="C190" s="204">
        <f t="shared" si="4"/>
        <v>172</v>
      </c>
      <c r="D190" s="23"/>
      <c r="E190" s="711"/>
      <c r="F190" s="250"/>
      <c r="G190" s="342">
        <v>0</v>
      </c>
      <c r="H190" s="343">
        <f t="shared" si="5"/>
        <v>0</v>
      </c>
    </row>
    <row r="191" spans="2:8" ht="14.25" customHeight="1">
      <c r="B191" s="684"/>
      <c r="C191" s="204">
        <f t="shared" si="4"/>
        <v>173</v>
      </c>
      <c r="D191" s="394"/>
      <c r="E191" s="713"/>
      <c r="F191" s="396"/>
      <c r="G191" s="342">
        <v>0</v>
      </c>
      <c r="H191" s="343">
        <f t="shared" si="5"/>
        <v>0</v>
      </c>
    </row>
    <row r="192" spans="2:8" ht="14.25" customHeight="1">
      <c r="B192" s="683"/>
      <c r="C192" s="204">
        <f t="shared" si="4"/>
        <v>174</v>
      </c>
      <c r="D192" s="389"/>
      <c r="E192" s="712"/>
      <c r="F192" s="392"/>
      <c r="G192" s="342">
        <v>0</v>
      </c>
      <c r="H192" s="343">
        <f t="shared" si="5"/>
        <v>0</v>
      </c>
    </row>
    <row r="193" spans="2:12" ht="14.25" customHeight="1">
      <c r="B193" s="684"/>
      <c r="C193" s="204">
        <f t="shared" si="4"/>
        <v>175</v>
      </c>
      <c r="D193" s="389"/>
      <c r="E193" s="712"/>
      <c r="F193" s="392"/>
      <c r="G193" s="342">
        <v>0</v>
      </c>
      <c r="H193" s="343">
        <f t="shared" si="5"/>
        <v>0</v>
      </c>
    </row>
    <row r="194" spans="2:12" ht="14.25" customHeight="1">
      <c r="B194" s="683"/>
      <c r="C194" s="204">
        <f t="shared" si="4"/>
        <v>176</v>
      </c>
      <c r="D194" s="389"/>
      <c r="E194" s="712"/>
      <c r="F194" s="392"/>
      <c r="G194" s="342">
        <v>0</v>
      </c>
      <c r="H194" s="343">
        <f t="shared" si="5"/>
        <v>0</v>
      </c>
    </row>
    <row r="195" spans="2:12" ht="14.25" customHeight="1">
      <c r="B195" s="702"/>
      <c r="C195" s="741">
        <f t="shared" si="4"/>
        <v>177</v>
      </c>
      <c r="D195" s="703"/>
      <c r="E195" s="714"/>
      <c r="F195" s="709"/>
      <c r="G195" s="739">
        <v>0</v>
      </c>
      <c r="H195" s="740">
        <f t="shared" si="5"/>
        <v>0</v>
      </c>
    </row>
    <row r="196" spans="2:12" ht="14.25" customHeight="1">
      <c r="B196" s="677"/>
      <c r="C196" s="727"/>
      <c r="D196" s="678"/>
      <c r="E196" s="679"/>
      <c r="F196" s="866" t="s">
        <v>960</v>
      </c>
      <c r="G196" s="866"/>
      <c r="H196" s="350">
        <f>SUM(H19:H195)</f>
        <v>0</v>
      </c>
    </row>
    <row r="197" spans="2:12" ht="14.25" customHeight="1">
      <c r="B197" s="735"/>
      <c r="C197" s="736"/>
      <c r="D197" s="31"/>
      <c r="E197" s="31"/>
      <c r="F197" s="827" t="s">
        <v>961</v>
      </c>
      <c r="G197" s="827"/>
      <c r="H197" s="737">
        <v>0</v>
      </c>
    </row>
    <row r="198" spans="2:12" ht="14.25" customHeight="1">
      <c r="E198" s="15"/>
      <c r="F198" s="827" t="s">
        <v>962</v>
      </c>
      <c r="G198" s="827"/>
      <c r="H198" s="319">
        <f>H196+H197</f>
        <v>0</v>
      </c>
    </row>
    <row r="199" spans="2:12" ht="14.25" customHeight="1">
      <c r="E199" s="15"/>
      <c r="F199" s="262"/>
      <c r="G199" s="262"/>
      <c r="H199" s="734"/>
    </row>
    <row r="200" spans="2:12" ht="37.5" customHeight="1">
      <c r="B200" s="867" t="s">
        <v>963</v>
      </c>
      <c r="C200" s="868"/>
      <c r="D200" s="868"/>
      <c r="E200" s="868"/>
      <c r="F200" s="868"/>
      <c r="G200" s="868"/>
      <c r="H200" s="868"/>
      <c r="J200" s="738"/>
      <c r="K200" s="738"/>
      <c r="L200" s="738"/>
    </row>
    <row r="201" spans="2:12" ht="14.25" customHeight="1">
      <c r="B201" s="15"/>
      <c r="C201" s="728"/>
      <c r="D201" s="15"/>
      <c r="E201" s="15"/>
      <c r="F201" s="156"/>
      <c r="G201" s="15"/>
      <c r="H201" s="15"/>
      <c r="J201" s="738"/>
      <c r="K201" s="738"/>
      <c r="L201" s="738"/>
    </row>
    <row r="202" spans="2:12">
      <c r="B202" s="833" t="s">
        <v>964</v>
      </c>
      <c r="C202" s="833"/>
      <c r="D202" s="833"/>
      <c r="E202" s="833"/>
      <c r="F202" s="833"/>
      <c r="G202" s="833"/>
      <c r="H202" s="833"/>
      <c r="J202" s="738"/>
      <c r="K202" s="738"/>
      <c r="L202" s="738"/>
    </row>
    <row r="203" spans="2:12" ht="14.25" customHeight="1">
      <c r="B203" s="833"/>
      <c r="C203" s="833"/>
      <c r="D203" s="833"/>
      <c r="E203" s="833"/>
      <c r="F203" s="833"/>
      <c r="G203" s="833"/>
      <c r="H203" s="833"/>
      <c r="J203" s="738"/>
      <c r="K203" s="738"/>
      <c r="L203" s="738"/>
    </row>
    <row r="204" spans="2:12" ht="14.25" customHeight="1">
      <c r="B204" s="15"/>
      <c r="C204" s="728"/>
      <c r="D204" s="15"/>
      <c r="E204" s="15"/>
      <c r="F204" s="156"/>
      <c r="G204" s="15"/>
      <c r="H204" s="15"/>
      <c r="J204" s="738"/>
      <c r="K204" s="738"/>
      <c r="L204" s="738"/>
    </row>
    <row r="205" spans="2:12" ht="14.25" customHeight="1">
      <c r="B205" s="281" t="s">
        <v>965</v>
      </c>
      <c r="C205" s="729"/>
      <c r="D205" s="32"/>
      <c r="E205" s="32"/>
      <c r="F205" s="158"/>
      <c r="G205" s="32"/>
      <c r="H205" s="32"/>
    </row>
    <row r="206" spans="2:12">
      <c r="C206" s="419"/>
      <c r="D206" s="156"/>
      <c r="E206" s="156"/>
      <c r="F206" s="156"/>
      <c r="G206" s="156"/>
      <c r="H206" s="156"/>
      <c r="J206" s="131"/>
    </row>
    <row r="207" spans="2:12">
      <c r="B207" s="281"/>
      <c r="C207" s="419"/>
      <c r="D207" s="156"/>
      <c r="E207" s="156"/>
      <c r="F207" s="156"/>
      <c r="G207" s="156"/>
      <c r="H207" s="156"/>
      <c r="J207" s="131"/>
    </row>
    <row r="208" spans="2:12">
      <c r="B208" s="281"/>
      <c r="C208" s="419"/>
      <c r="D208" s="156"/>
      <c r="E208" s="156"/>
      <c r="F208" s="156"/>
      <c r="G208" s="156"/>
      <c r="H208" s="156"/>
    </row>
    <row r="209" spans="2:9" ht="14.25" customHeight="1">
      <c r="B209" s="337"/>
      <c r="C209" s="670"/>
      <c r="D209" s="337"/>
      <c r="E209" s="337"/>
      <c r="F209" s="826"/>
      <c r="G209" s="826"/>
      <c r="H209" s="826"/>
    </row>
    <row r="210" spans="2:9" s="46" customFormat="1" ht="14.25" customHeight="1">
      <c r="B210" s="613" t="s">
        <v>966</v>
      </c>
      <c r="C210" s="48"/>
      <c r="D210" s="614" t="s">
        <v>967</v>
      </c>
      <c r="E210" s="615"/>
      <c r="F210" s="279"/>
      <c r="G210" s="832" t="s">
        <v>968</v>
      </c>
      <c r="H210" s="832"/>
    </row>
    <row r="211" spans="2:9" ht="14.25" customHeight="1">
      <c r="B211" s="156"/>
      <c r="C211" s="419"/>
      <c r="D211" s="156"/>
      <c r="E211" s="156"/>
      <c r="F211" s="156"/>
      <c r="G211" s="156"/>
      <c r="H211" s="156"/>
    </row>
    <row r="212" spans="2:9" ht="14.45" customHeight="1">
      <c r="B212" s="825" t="s">
        <v>969</v>
      </c>
      <c r="C212" s="825"/>
      <c r="D212" s="825"/>
      <c r="E212" s="825"/>
      <c r="F212" s="825"/>
      <c r="G212" s="825"/>
      <c r="H212" s="825"/>
    </row>
    <row r="213" spans="2:9" ht="14.25" customHeight="1">
      <c r="B213" s="141"/>
      <c r="C213" s="216"/>
      <c r="D213" s="141"/>
      <c r="E213" s="141"/>
      <c r="G213" s="141"/>
      <c r="H213" s="141"/>
    </row>
    <row r="214" spans="2:9" ht="14.25" customHeight="1">
      <c r="B214" s="141"/>
      <c r="C214" s="216"/>
      <c r="D214" s="141"/>
      <c r="E214" s="141"/>
      <c r="G214" s="141"/>
      <c r="H214" s="141"/>
    </row>
    <row r="215" spans="2:9" ht="14.25" customHeight="1"/>
    <row r="216" spans="2:9" ht="14.25" customHeight="1"/>
    <row r="217" spans="2:9" ht="14.25" customHeight="1"/>
    <row r="218" spans="2:9" ht="14.25" customHeight="1"/>
    <row r="219" spans="2:9" ht="14.25" customHeight="1"/>
    <row r="220" spans="2:9" ht="14.25" customHeight="1"/>
    <row r="223" spans="2:9" ht="32.25" customHeight="1"/>
    <row r="224" spans="2:9" ht="15" customHeight="1">
      <c r="I224" s="141"/>
    </row>
    <row r="225" spans="9:9" ht="15" customHeight="1">
      <c r="I225" s="141"/>
    </row>
    <row r="226" spans="9:9" ht="15" customHeight="1">
      <c r="I226" s="141"/>
    </row>
    <row r="227" spans="9:9" ht="15" customHeight="1">
      <c r="I227" s="141"/>
    </row>
    <row r="228" spans="9:9" ht="15" customHeight="1">
      <c r="I228" s="141"/>
    </row>
  </sheetData>
  <autoFilter ref="F18:H200" xr:uid="{E937501A-BE74-4B69-AE33-1504B4F26655}"/>
  <mergeCells count="15">
    <mergeCell ref="B202:H203"/>
    <mergeCell ref="F209:H209"/>
    <mergeCell ref="G210:H210"/>
    <mergeCell ref="B212:H212"/>
    <mergeCell ref="F198:G198"/>
    <mergeCell ref="B14:H14"/>
    <mergeCell ref="B15:H16"/>
    <mergeCell ref="F196:G196"/>
    <mergeCell ref="B200:H200"/>
    <mergeCell ref="F197:G197"/>
    <mergeCell ref="F8:G8"/>
    <mergeCell ref="F9:G9"/>
    <mergeCell ref="F10:G10"/>
    <mergeCell ref="F11:G11"/>
    <mergeCell ref="F12:G12"/>
  </mergeCells>
  <conditionalFormatting sqref="F8:G8">
    <cfRule type="containsText" dxfId="37" priority="2" operator="containsText" text="Invoice">
      <formula>NOT(ISERROR(SEARCH("Invoice",F8)))</formula>
    </cfRule>
  </conditionalFormatting>
  <conditionalFormatting sqref="D114:D119 D68:D69 D75:D107 D73 D71">
    <cfRule type="duplicateValues" dxfId="36" priority="7"/>
  </conditionalFormatting>
  <conditionalFormatting sqref="D111:D112">
    <cfRule type="duplicateValues" dxfId="35" priority="1"/>
  </conditionalFormatting>
  <printOptions horizontalCentered="1"/>
  <pageMargins left="0.25" right="0.25" top="0.75" bottom="0.75" header="0.3" footer="0.3"/>
  <pageSetup scale="28" orientation="portrait" horizontalDpi="4294967293" verticalDpi="429496729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7501A-BE74-4B69-AE33-1504B4F26655}">
  <sheetPr codeName="Sheet7" filterMode="1">
    <tabColor rgb="FF00B0F0"/>
    <pageSetUpPr fitToPage="1"/>
  </sheetPr>
  <dimension ref="B1:K267"/>
  <sheetViews>
    <sheetView showZeros="0" tabSelected="1" zoomScale="90" zoomScaleNormal="90" workbookViewId="0">
      <selection activeCell="S22" sqref="S22"/>
    </sheetView>
  </sheetViews>
  <sheetFormatPr defaultRowHeight="15" customHeight="1"/>
  <cols>
    <col min="1" max="1" width="8.7109375" bestFit="1" customWidth="1"/>
    <col min="2" max="2" width="72.42578125" bestFit="1" customWidth="1"/>
    <col min="4" max="4" width="22.7109375" customWidth="1"/>
    <col min="5" max="5" width="22.5703125" customWidth="1"/>
    <col min="6" max="6" width="14.140625" style="141" customWidth="1"/>
    <col min="7" max="7" width="17" customWidth="1"/>
    <col min="8" max="8" width="20.85546875" customWidth="1"/>
    <col min="9" max="9" width="15" customWidth="1"/>
    <col min="10" max="10" width="19.140625" bestFit="1" customWidth="1"/>
    <col min="11" max="11" width="10.85546875" customWidth="1"/>
    <col min="13" max="13" width="9.28515625" bestFit="1" customWidth="1"/>
  </cols>
  <sheetData>
    <row r="1" spans="2:11" ht="21">
      <c r="B1" s="12" t="s">
        <v>938</v>
      </c>
      <c r="C1" s="10"/>
      <c r="D1" s="10"/>
      <c r="E1" s="9"/>
      <c r="F1" s="154"/>
      <c r="G1" s="18"/>
      <c r="H1" s="19"/>
      <c r="J1" s="489" t="s">
        <v>939</v>
      </c>
      <c r="K1" s="490" t="str">
        <f ca="1">B10&amp;" - "&amp;VLOOKUP!F1&amp;" - PSFv73 - "&amp;TEXT(H9,"MMDDYYYY")</f>
        <v>Soar Autism Center - South Fort Collins - SQ-2MBL2T-10x10 - PSFv73 - 07222026</v>
      </c>
    </row>
    <row r="2" spans="2:11">
      <c r="B2" s="23" t="s">
        <v>940</v>
      </c>
      <c r="C2" s="23"/>
      <c r="D2" s="16"/>
      <c r="E2" s="23"/>
      <c r="F2" s="155"/>
      <c r="G2" s="15"/>
      <c r="H2" s="15"/>
      <c r="J2" s="489" t="s">
        <v>941</v>
      </c>
      <c r="K2" s="490" t="str">
        <f ca="1">B10&amp;" - "&amp;VLOOKUP!F1&amp;" - Proposal "&amp;F9&amp;" - "&amp;TEXT(H9,"MMDDYYYY")</f>
        <v>Soar Autism Center - South Fort Collins - SQ-2MBL2T-10x10 - Proposal ADV-SS-260722-001 - 07222026</v>
      </c>
    </row>
    <row r="3" spans="2:11">
      <c r="B3" s="23" t="s">
        <v>942</v>
      </c>
      <c r="C3" s="23"/>
      <c r="D3" s="16"/>
      <c r="E3" s="23"/>
      <c r="F3" s="156"/>
      <c r="G3" s="15"/>
      <c r="H3" s="15"/>
      <c r="K3" s="48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
      <c r="E8" s="15"/>
      <c r="F8" s="836" t="s">
        <v>947</v>
      </c>
      <c r="G8" s="836"/>
      <c r="H8" s="286" t="s">
        <v>948</v>
      </c>
    </row>
    <row r="9" spans="2:11" ht="14.25" customHeight="1">
      <c r="B9" s="16" t="str">
        <f>Discovery!B2</f>
        <v>Tyler Galiotto</v>
      </c>
      <c r="C9" s="23"/>
      <c r="D9" s="23"/>
      <c r="E9" s="15"/>
      <c r="F9" s="837" t="str">
        <f ca="1">"ADV-" &amp;
UPPER(LEFT(B10,1) &amp; RIGHT(B10,1)) &amp;
"-" &amp; TEXT(H9,"yymmdd") &amp;
"-" &amp;
TEXT(
   IF(AND(ISNUMBER(K11),K11&gt;0),
      K11,
      COUNTIFS($B$10:B10,B10,$H$9:H9,H9)
   ),
"000")</f>
        <v>ADV-SS-260722-001</v>
      </c>
      <c r="G9" s="838"/>
      <c r="H9" s="317">
        <f ca="1">TODAY()</f>
        <v>46225</v>
      </c>
    </row>
    <row r="10" spans="2:11">
      <c r="B10" s="16" t="str">
        <f>Discovery!B3</f>
        <v>Soar Autism Center - South Fort Collins</v>
      </c>
      <c r="C10" s="23"/>
      <c r="D10" s="23"/>
      <c r="E10" s="15"/>
      <c r="F10" s="839" t="s">
        <v>949</v>
      </c>
      <c r="G10" s="839"/>
      <c r="H10" s="286" t="s">
        <v>950</v>
      </c>
    </row>
    <row r="11" spans="2:11">
      <c r="B11" s="16" t="str">
        <f>Discovery!B4</f>
        <v>3801 Automation Way</v>
      </c>
      <c r="C11" s="23"/>
      <c r="D11" s="23"/>
      <c r="E11" s="15"/>
      <c r="F11" s="838" t="str">
        <f>"SSG-"&amp;Discovery!B13</f>
        <v>SSG-12552093278</v>
      </c>
      <c r="G11" s="838"/>
      <c r="H11" s="317">
        <f ca="1">H9+6</f>
        <v>46231</v>
      </c>
      <c r="J11" s="520" t="s">
        <v>951</v>
      </c>
      <c r="K11" s="53">
        <v>0</v>
      </c>
    </row>
    <row r="12" spans="2:11">
      <c r="B12" s="16" t="str">
        <f>Discovery!B5&amp;" "&amp;Discovery!B6</f>
        <v>Fort Collins, CO 80525</v>
      </c>
      <c r="C12" s="23"/>
      <c r="D12" s="23"/>
      <c r="E12" s="15"/>
      <c r="F12" s="840" t="s">
        <v>970</v>
      </c>
      <c r="G12" s="840"/>
      <c r="H12" s="316">
        <f>Calcs!I176+100</f>
        <v>1376.8619999999999</v>
      </c>
    </row>
    <row r="13" spans="2:11">
      <c r="B13" s="16" t="str">
        <f>Discovery!B10</f>
        <v>United States</v>
      </c>
      <c r="C13" s="23"/>
      <c r="D13" s="23"/>
      <c r="E13" s="15"/>
      <c r="F13" s="156"/>
      <c r="G13" s="15"/>
      <c r="H13" s="15"/>
      <c r="J13" s="806" t="s">
        <v>971</v>
      </c>
      <c r="K13" s="806"/>
    </row>
    <row r="14" spans="2:11" ht="15" customHeight="1">
      <c r="B14" s="16"/>
      <c r="C14" s="16"/>
      <c r="D14" s="16"/>
      <c r="E14" s="16"/>
      <c r="F14" s="156"/>
      <c r="G14" s="15"/>
      <c r="H14" s="15"/>
      <c r="J14" s="1" t="s">
        <v>972</v>
      </c>
      <c r="K14" s="564">
        <f>H12</f>
        <v>1376.8619999999999</v>
      </c>
    </row>
    <row r="15" spans="2:11" ht="15" customHeight="1">
      <c r="B15" s="815" t="s">
        <v>952</v>
      </c>
      <c r="C15" s="816"/>
      <c r="D15" s="816"/>
      <c r="E15" s="816"/>
      <c r="F15" s="816"/>
      <c r="G15" s="816"/>
      <c r="H15" s="817"/>
      <c r="J15" s="1" t="s">
        <v>973</v>
      </c>
      <c r="K15" s="564">
        <f>K14/2.205</f>
        <v>624.4272108843536</v>
      </c>
    </row>
    <row r="16" spans="2:11">
      <c r="B16" s="809" t="str">
        <f>"Summit Adventure Series "&amp;VLOOKUP!D1&amp;" - "&amp;Discovery!B28&amp;"Design &amp; Fabrication of "&amp;(VLOOKUP!F9)&amp;"' X "&amp;(VLOOKUP!F10)&amp;"' Sensory Gym Structure"&amp;IF(Calcs!F22&gt;0," w Monkey Bars","")&amp;IF(Calcs!F47&gt;0," &amp; Trolley System","")</f>
        <v>Summit Adventure Series SQ-2MBL2T - Design &amp; Fabrication of 10' X 10' Sensory Gym Structure w Monkey Bars &amp; Trolley System</v>
      </c>
      <c r="C16" s="810"/>
      <c r="D16" s="810"/>
      <c r="E16" s="810"/>
      <c r="F16" s="810"/>
      <c r="G16" s="810"/>
      <c r="H16" s="811"/>
    </row>
    <row r="17" spans="2:8">
      <c r="B17" s="812"/>
      <c r="C17" s="813"/>
      <c r="D17" s="813"/>
      <c r="E17" s="813"/>
      <c r="F17" s="813"/>
      <c r="G17" s="813"/>
      <c r="H17" s="814"/>
    </row>
    <row r="18" spans="2:8" ht="15" customHeight="1">
      <c r="B18" s="23"/>
      <c r="C18" s="23"/>
      <c r="D18" s="23"/>
      <c r="E18" s="16"/>
      <c r="F18" s="155"/>
      <c r="G18" s="16"/>
      <c r="H18" s="16"/>
    </row>
    <row r="19" spans="2:8" ht="15" customHeight="1">
      <c r="B19" s="376" t="s">
        <v>175</v>
      </c>
      <c r="C19" s="377"/>
      <c r="D19" s="378" t="s">
        <v>955</v>
      </c>
      <c r="E19" s="378"/>
      <c r="F19" s="379" t="s">
        <v>957</v>
      </c>
      <c r="G19" s="20" t="s">
        <v>974</v>
      </c>
      <c r="H19" s="380" t="s">
        <v>975</v>
      </c>
    </row>
    <row r="20" spans="2:8" ht="15.75" thickBot="1">
      <c r="B20" s="381" t="str">
        <f>VLOOKUP!F1&amp;" - ITEMIZED"</f>
        <v>SQ-2MBL2T-10x10 - ITEMIZED</v>
      </c>
      <c r="C20" s="382"/>
      <c r="D20" s="383"/>
      <c r="E20" s="384"/>
      <c r="F20" s="385" t="s">
        <v>976</v>
      </c>
      <c r="G20" s="386"/>
      <c r="H20" s="387"/>
    </row>
    <row r="21" spans="2:8">
      <c r="B21" s="388" t="str">
        <f>IFERROR(VLOOKUP(D21,Calcs!B:G,3,FALSE),"")</f>
        <v>Vertical Tall &lt;80 w/Gusset</v>
      </c>
      <c r="C21" s="389"/>
      <c r="D21" t="s">
        <v>178</v>
      </c>
      <c r="E21" s="390"/>
      <c r="F21" s="391">
        <f>IFERROR(VLOOKUP(D21,Calcs!B:F,5,FALSE),"")</f>
        <v>2</v>
      </c>
      <c r="G21" s="342">
        <f>IFERROR(VLOOKUP(D21,Calcs!B:M,11,FALSE),"")</f>
        <v>557.75</v>
      </c>
      <c r="H21" s="343">
        <f>IFERROR(VLOOKUP(D21,Calcs!B:M,12,FALSE),"")</f>
        <v>1115.5</v>
      </c>
    </row>
    <row r="22" spans="2:8" ht="14.25" customHeight="1">
      <c r="B22" s="35" t="str">
        <f>IFERROR(VLOOKUP(D22,Calcs!B:G,3,FALSE),"")</f>
        <v>Vertical Tall &lt;80 w/Gussets, Rungs &amp; Handles</v>
      </c>
      <c r="C22" s="23"/>
      <c r="D22" t="s">
        <v>181</v>
      </c>
      <c r="E22" s="239"/>
      <c r="F22" s="391">
        <f>IFERROR(VLOOKUP(D22,Calcs!B:F,5,FALSE),"")</f>
        <v>2</v>
      </c>
      <c r="G22" s="342">
        <f>IFERROR(VLOOKUP(D22,Calcs!B:M,11,FALSE),"")</f>
        <v>557.75</v>
      </c>
      <c r="H22" s="343">
        <f>IFERROR(VLOOKUP(D22,Calcs!B:M,12,FALSE),"")</f>
        <v>1115.5</v>
      </c>
    </row>
    <row r="23" spans="2:8" ht="14.25" hidden="1" customHeight="1">
      <c r="B23" s="35" t="str">
        <f>IFERROR(VLOOKUP(D23,Calcs!B:G,3,FALSE),"")</f>
        <v/>
      </c>
      <c r="C23" s="23"/>
      <c r="D23" t="s">
        <v>184</v>
      </c>
      <c r="E23" s="239"/>
      <c r="F23" s="391" t="str">
        <f>IFERROR(VLOOKUP(D23,Calcs!B:F,5,FALSE),"")</f>
        <v/>
      </c>
      <c r="G23" s="342" t="str">
        <f>IFERROR(VLOOKUP(D23,Calcs!B:M,11,FALSE),"")</f>
        <v/>
      </c>
      <c r="H23" s="343" t="str">
        <f>IFERROR(VLOOKUP(D23,Calcs!B:M,12,FALSE),"")</f>
        <v/>
      </c>
    </row>
    <row r="24" spans="2:8" ht="14.25" customHeight="1">
      <c r="B24" s="388" t="str">
        <f>IFERROR(VLOOKUP(D24,Calcs!B:G,3,FALSE),"")</f>
        <v>Corner Post &lt;80 2-Way Weld Assembly</v>
      </c>
      <c r="C24" s="389"/>
      <c r="D24" t="s">
        <v>187</v>
      </c>
      <c r="E24" s="390"/>
      <c r="F24" s="391">
        <f>IFERROR(VLOOKUP(D24,Calcs!B:F,5,FALSE),"")</f>
        <v>4</v>
      </c>
      <c r="G24" s="342">
        <f>IFERROR(VLOOKUP(D24,Calcs!B:M,11,FALSE),"")</f>
        <v>175.95</v>
      </c>
      <c r="H24" s="343">
        <f>IFERROR(VLOOKUP(D24,Calcs!B:M,12,FALSE),"")</f>
        <v>703.8</v>
      </c>
    </row>
    <row r="25" spans="2:8" ht="14.25" hidden="1" customHeight="1">
      <c r="B25" s="35" t="str">
        <f>IFERROR(VLOOKUP(D25,Calcs!B:G,3,FALSE),"")</f>
        <v/>
      </c>
      <c r="C25" s="23"/>
      <c r="D25" t="s">
        <v>190</v>
      </c>
      <c r="E25" s="239"/>
      <c r="F25" s="391" t="str">
        <f>IFERROR(VLOOKUP(D25,Calcs!B:F,5,FALSE),"")</f>
        <v/>
      </c>
      <c r="G25" s="342" t="str">
        <f>IFERROR(VLOOKUP(D25,Calcs!B:M,11,FALSE),"")</f>
        <v/>
      </c>
      <c r="H25" s="343" t="str">
        <f>IFERROR(VLOOKUP(D25,Calcs!B:M,12,FALSE),"")</f>
        <v/>
      </c>
    </row>
    <row r="26" spans="2:8" ht="14.25" hidden="1" customHeight="1">
      <c r="B26" s="35" t="str">
        <f>IFERROR(VLOOKUP(D26,Calcs!B:G,3,FALSE),"")</f>
        <v/>
      </c>
      <c r="C26" s="23"/>
      <c r="D26" t="s">
        <v>192</v>
      </c>
      <c r="E26" s="239"/>
      <c r="F26" s="391" t="str">
        <f>IFERROR(VLOOKUP(D26,Calcs!B:F,5,FALSE),"")</f>
        <v/>
      </c>
      <c r="G26" s="342" t="str">
        <f>IFERROR(VLOOKUP(D26,Calcs!B:M,11,FALSE),"")</f>
        <v/>
      </c>
      <c r="H26" s="343" t="str">
        <f>IFERROR(VLOOKUP(D26,Calcs!B:M,12,FALSE),"")</f>
        <v/>
      </c>
    </row>
    <row r="27" spans="2:8" ht="14.25" hidden="1" customHeight="1">
      <c r="B27" s="35" t="str">
        <f>IFERROR(VLOOKUP(D27,Calcs!B:G,3,FALSE),"")</f>
        <v/>
      </c>
      <c r="C27" s="23"/>
      <c r="D27" t="s">
        <v>357</v>
      </c>
      <c r="E27" s="239"/>
      <c r="F27" s="391" t="str">
        <f>IFERROR(VLOOKUP(D27,Calcs!B:F,5,FALSE),"")</f>
        <v/>
      </c>
      <c r="G27" s="342" t="str">
        <f>IFERROR(VLOOKUP(D27,Calcs!B:M,11,FALSE),"")</f>
        <v/>
      </c>
      <c r="H27" s="343" t="str">
        <f>IFERROR(VLOOKUP(D27,Calcs!B:M,12,FALSE),"")</f>
        <v/>
      </c>
    </row>
    <row r="28" spans="2:8" ht="14.25" customHeight="1">
      <c r="B28" s="388" t="str">
        <f>IFERROR(VLOOKUP(D28,Calcs!B:G,3,FALSE),"")</f>
        <v>Mid Span 1-Way Saddle Alt Weld Assembly</v>
      </c>
      <c r="C28" s="389"/>
      <c r="D28" t="s">
        <v>194</v>
      </c>
      <c r="E28" s="390"/>
      <c r="F28" s="391">
        <f>IFERROR(VLOOKUP(D28,Calcs!B:F,5,FALSE),"")</f>
        <v>4</v>
      </c>
      <c r="G28" s="342">
        <f>IFERROR(VLOOKUP(D28,Calcs!B:M,11,FALSE),"")</f>
        <v>105.8</v>
      </c>
      <c r="H28" s="343">
        <f>IFERROR(VLOOKUP(D28,Calcs!B:M,12,FALSE),"")</f>
        <v>423.2</v>
      </c>
    </row>
    <row r="29" spans="2:8" ht="14.25" customHeight="1">
      <c r="B29" s="35" t="str">
        <f>IFERROR(VLOOKUP(D29,Calcs!B:G,3,FALSE),"")</f>
        <v>Ladder Leg Footless</v>
      </c>
      <c r="C29" s="23"/>
      <c r="D29" t="s">
        <v>196</v>
      </c>
      <c r="E29" s="239"/>
      <c r="F29" s="391">
        <f>IFERROR(VLOOKUP(D29,Calcs!B:F,5,FALSE),"")</f>
        <v>2</v>
      </c>
      <c r="G29" s="342">
        <f>IFERROR(VLOOKUP(D29,Calcs!B:M,11,FALSE),"")</f>
        <v>224.25</v>
      </c>
      <c r="H29" s="343">
        <f>IFERROR(VLOOKUP(D29,Calcs!B:M,12,FALSE),"")</f>
        <v>448.5</v>
      </c>
    </row>
    <row r="30" spans="2:8" ht="14.25" customHeight="1">
      <c r="B30" s="35" t="str">
        <f>IFERROR(VLOOKUP(D30,Calcs!B:G,3,FALSE),"")</f>
        <v>Single Leg Inner Ladder Sleeve Footless Weld Assembly</v>
      </c>
      <c r="C30" s="23"/>
      <c r="D30" t="s">
        <v>198</v>
      </c>
      <c r="E30" s="239"/>
      <c r="F30" s="391">
        <f>IFERROR(VLOOKUP(D30,Calcs!B:F,5,FALSE),"")</f>
        <v>2</v>
      </c>
      <c r="G30" s="342">
        <f>IFERROR(VLOOKUP(D30,Calcs!B:M,11,FALSE),"")</f>
        <v>150.65</v>
      </c>
      <c r="H30" s="343">
        <f>IFERROR(VLOOKUP(D30,Calcs!B:M,12,FALSE),"")</f>
        <v>301.3</v>
      </c>
    </row>
    <row r="31" spans="2:8" ht="14.25" hidden="1" customHeight="1">
      <c r="B31" s="35" t="str">
        <f>IFERROR(VLOOKUP(D31,Calcs!B:G,3,FALSE),"")</f>
        <v/>
      </c>
      <c r="C31" s="23"/>
      <c r="D31" t="s">
        <v>200</v>
      </c>
      <c r="E31" s="239"/>
      <c r="F31" s="391" t="str">
        <f>IFERROR(VLOOKUP(D31,Calcs!B:F,5,FALSE),"")</f>
        <v/>
      </c>
      <c r="G31" s="342" t="str">
        <f>IFERROR(VLOOKUP(D31,Calcs!B:M,11,FALSE),"")</f>
        <v/>
      </c>
      <c r="H31" s="343" t="str">
        <f>IFERROR(VLOOKUP(D31,Calcs!B:M,12,FALSE),"")</f>
        <v/>
      </c>
    </row>
    <row r="32" spans="2:8" ht="14.25" hidden="1" customHeight="1">
      <c r="B32" s="35" t="str">
        <f>IFERROR(VLOOKUP(D32,Calcs!B:G,3,FALSE),"")</f>
        <v/>
      </c>
      <c r="C32" s="23"/>
      <c r="D32" t="s">
        <v>201</v>
      </c>
      <c r="E32" s="239"/>
      <c r="F32" s="391" t="str">
        <f>IFERROR(VLOOKUP(D32,Calcs!B:F,5,FALSE),"")</f>
        <v/>
      </c>
      <c r="G32" s="342" t="str">
        <f>IFERROR(VLOOKUP(D32,Calcs!B:M,11,FALSE),"")</f>
        <v/>
      </c>
      <c r="H32" s="343" t="str">
        <f>IFERROR(VLOOKUP(D32,Calcs!B:M,12,FALSE),"")</f>
        <v/>
      </c>
    </row>
    <row r="33" spans="2:8" ht="14.25" hidden="1" customHeight="1">
      <c r="B33" s="388" t="str">
        <f>IFERROR(VLOOKUP(D33,Calcs!B:G,3,FALSE),"")</f>
        <v/>
      </c>
      <c r="C33" s="389"/>
      <c r="D33" t="s">
        <v>205</v>
      </c>
      <c r="E33" s="390"/>
      <c r="F33" s="391" t="str">
        <f>IFERROR(VLOOKUP(D33,Calcs!B:F,5,FALSE),"")</f>
        <v/>
      </c>
      <c r="G33" s="342" t="str">
        <f>IFERROR(VLOOKUP(D33,Calcs!B:M,11,FALSE),"")</f>
        <v/>
      </c>
      <c r="H33" s="343" t="str">
        <f>IFERROR(VLOOKUP(D33,Calcs!B:M,12,FALSE),"")</f>
        <v/>
      </c>
    </row>
    <row r="34" spans="2:8" ht="14.25" hidden="1" customHeight="1">
      <c r="B34" s="388" t="str">
        <f>IFERROR(VLOOKUP(D34,Calcs!B:G,3,FALSE),"")</f>
        <v/>
      </c>
      <c r="C34" s="389"/>
      <c r="D34" t="s">
        <v>207</v>
      </c>
      <c r="E34" s="390"/>
      <c r="F34" s="391" t="str">
        <f>IFERROR(VLOOKUP(D34,Calcs!B:F,5,FALSE),"")</f>
        <v/>
      </c>
      <c r="G34" s="342" t="str">
        <f>IFERROR(VLOOKUP(D34,Calcs!B:M,11,FALSE),"")</f>
        <v/>
      </c>
      <c r="H34" s="343" t="str">
        <f>IFERROR(VLOOKUP(D34,Calcs!B:M,12,FALSE),"")</f>
        <v/>
      </c>
    </row>
    <row r="35" spans="2:8" ht="14.25" hidden="1" customHeight="1">
      <c r="B35" s="35" t="str">
        <f>IFERROR(VLOOKUP(D35,Calcs!B:G,3,FALSE),"")</f>
        <v/>
      </c>
      <c r="C35" s="23"/>
      <c r="D35" t="s">
        <v>210</v>
      </c>
      <c r="E35" s="239"/>
      <c r="F35" s="391" t="str">
        <f>IFERROR(VLOOKUP(D35,Calcs!B:F,5,FALSE),"")</f>
        <v/>
      </c>
      <c r="G35" s="342" t="str">
        <f>IFERROR(VLOOKUP(D35,Calcs!B:M,11,FALSE),"")</f>
        <v/>
      </c>
      <c r="H35" s="343" t="str">
        <f>IFERROR(VLOOKUP(D35,Calcs!B:M,12,FALSE),"")</f>
        <v/>
      </c>
    </row>
    <row r="36" spans="2:8" ht="14.25" hidden="1" customHeight="1">
      <c r="B36" s="388" t="str">
        <f>IFERROR(VLOOKUP(D36,Calcs!B:G,3,FALSE),"")</f>
        <v/>
      </c>
      <c r="C36" s="389"/>
      <c r="D36" t="s">
        <v>213</v>
      </c>
      <c r="E36" s="390"/>
      <c r="F36" s="391" t="str">
        <f>IFERROR(VLOOKUP(D36,Calcs!B:F,5,FALSE),"")</f>
        <v/>
      </c>
      <c r="G36" s="342" t="str">
        <f>IFERROR(VLOOKUP(D36,Calcs!B:M,11,FALSE),"")</f>
        <v/>
      </c>
      <c r="H36" s="343" t="str">
        <f>IFERROR(VLOOKUP(D36,Calcs!B:M,12,FALSE),"")</f>
        <v/>
      </c>
    </row>
    <row r="37" spans="2:8" ht="14.25" customHeight="1">
      <c r="B37" s="35" t="str">
        <f>IFERROR(VLOOKUP(D37,Calcs!B:G,3,FALSE),"")</f>
        <v>10' Half Bay &lt;80 HSS Member w/Splices &amp; HDWE</v>
      </c>
      <c r="C37" s="23"/>
      <c r="D37" t="s">
        <v>216</v>
      </c>
      <c r="E37" s="239"/>
      <c r="F37" s="391">
        <f>IFERROR(VLOOKUP(D37,Calcs!B:F,5,FALSE),"")</f>
        <v>4</v>
      </c>
      <c r="G37" s="342">
        <f>IFERROR(VLOOKUP(D37,Calcs!B:M,11,FALSE),"")</f>
        <v>460</v>
      </c>
      <c r="H37" s="343">
        <f>IFERROR(VLOOKUP(D37,Calcs!B:M,12,FALSE),"")</f>
        <v>1840</v>
      </c>
    </row>
    <row r="38" spans="2:8" ht="14.25" customHeight="1">
      <c r="B38" s="35" t="str">
        <f>IFERROR(VLOOKUP(D38,Calcs!B:G,3,FALSE),"")</f>
        <v>Monkey Bar / Ladder Rungs w/ 4 Threaded Holes</v>
      </c>
      <c r="C38" s="23"/>
      <c r="D38" t="s">
        <v>218</v>
      </c>
      <c r="E38" s="239"/>
      <c r="F38" s="391">
        <f>IFERROR(VLOOKUP(D38,Calcs!B:F,5,FALSE),"")</f>
        <v>19</v>
      </c>
      <c r="G38" s="342">
        <f>IFERROR(VLOOKUP(D38,Calcs!B:M,11,FALSE),"")</f>
        <v>47.15</v>
      </c>
      <c r="H38" s="343">
        <f>IFERROR(VLOOKUP(D38,Calcs!B:M,12,FALSE),"")</f>
        <v>895.85</v>
      </c>
    </row>
    <row r="39" spans="2:8" ht="14.25" hidden="1" customHeight="1">
      <c r="B39" s="35" t="str">
        <f>IFERROR(VLOOKUP(D39,Calcs!B:G,3,FALSE),"")</f>
        <v/>
      </c>
      <c r="C39" s="23"/>
      <c r="D39" t="s">
        <v>220</v>
      </c>
      <c r="E39" s="239"/>
      <c r="F39" s="391" t="str">
        <f>IFERROR(VLOOKUP(D39,Calcs!B:F,5,FALSE),"")</f>
        <v/>
      </c>
      <c r="G39" s="342" t="str">
        <f>IFERROR(VLOOKUP(D39,Calcs!B:M,11,FALSE),"")</f>
        <v/>
      </c>
      <c r="H39" s="343" t="str">
        <f>IFERROR(VLOOKUP(D39,Calcs!B:M,12,FALSE),"")</f>
        <v/>
      </c>
    </row>
    <row r="40" spans="2:8" ht="14.25" hidden="1" customHeight="1">
      <c r="B40" s="35" t="str">
        <f>IFERROR(VLOOKUP(D40,Calcs!B:G,3,FALSE),"")</f>
        <v/>
      </c>
      <c r="C40" s="23"/>
      <c r="D40" t="s">
        <v>223</v>
      </c>
      <c r="E40" s="239"/>
      <c r="F40" s="391" t="str">
        <f>IFERROR(VLOOKUP(D40,Calcs!B:F,5,FALSE),"")</f>
        <v/>
      </c>
      <c r="G40" s="342" t="str">
        <f>IFERROR(VLOOKUP(D40,Calcs!B:M,11,FALSE),"")</f>
        <v/>
      </c>
      <c r="H40" s="343" t="str">
        <f>IFERROR(VLOOKUP(D40,Calcs!B:M,12,FALSE),"")</f>
        <v/>
      </c>
    </row>
    <row r="41" spans="2:8" ht="14.25" hidden="1" customHeight="1">
      <c r="B41" s="35" t="str">
        <f>IFERROR(VLOOKUP(D41,Calcs!B:G,3,FALSE),"")</f>
        <v/>
      </c>
      <c r="C41" s="23"/>
      <c r="D41" t="s">
        <v>229</v>
      </c>
      <c r="E41" s="239"/>
      <c r="F41" s="391" t="str">
        <f>IFERROR(VLOOKUP(D41,Calcs!B:F,5,FALSE),"")</f>
        <v/>
      </c>
      <c r="G41" s="342" t="str">
        <f>IFERROR(VLOOKUP(D41,Calcs!B:M,11,FALSE),"")</f>
        <v/>
      </c>
      <c r="H41" s="343" t="str">
        <f>IFERROR(VLOOKUP(D41,Calcs!B:M,12,FALSE),"")</f>
        <v/>
      </c>
    </row>
    <row r="42" spans="2:8" ht="14.25" hidden="1" customHeight="1">
      <c r="B42" s="388" t="str">
        <f>IFERROR(VLOOKUP(D42,Calcs!B:G,3,FALSE),"")</f>
        <v/>
      </c>
      <c r="C42" s="389"/>
      <c r="D42" t="s">
        <v>232</v>
      </c>
      <c r="E42" s="390"/>
      <c r="F42" s="391" t="str">
        <f>IFERROR(VLOOKUP(D42,Calcs!B:F,5,FALSE),"")</f>
        <v/>
      </c>
      <c r="G42" s="342" t="str">
        <f>IFERROR(VLOOKUP(D42,Calcs!B:M,11,FALSE),"")</f>
        <v/>
      </c>
      <c r="H42" s="343" t="str">
        <f>IFERROR(VLOOKUP(D42,Calcs!B:M,12,FALSE),"")</f>
        <v/>
      </c>
    </row>
    <row r="43" spans="2:8" ht="14.25" customHeight="1">
      <c r="B43" s="388" t="str">
        <f>IFERROR(VLOOKUP(D43,Calcs!B:G,3,FALSE),"")</f>
        <v>10' Half Bay &lt;80 Monkey Bar HSS w/Splices &amp; HDWE</v>
      </c>
      <c r="C43" s="389"/>
      <c r="D43" t="s">
        <v>235</v>
      </c>
      <c r="E43" s="390"/>
      <c r="F43" s="391">
        <f>IFERROR(VLOOKUP(D43,Calcs!B:F,5,FALSE),"")</f>
        <v>2</v>
      </c>
      <c r="G43" s="342">
        <f>IFERROR(VLOOKUP(D43,Calcs!B:M,11,FALSE),"")</f>
        <v>460</v>
      </c>
      <c r="H43" s="343">
        <f>IFERROR(VLOOKUP(D43,Calcs!B:M,12,FALSE),"")</f>
        <v>920</v>
      </c>
    </row>
    <row r="44" spans="2:8" ht="14.25" hidden="1" customHeight="1">
      <c r="B44" s="35" t="str">
        <f>IFERROR(VLOOKUP(D44,Calcs!B:G,3,FALSE),"")</f>
        <v/>
      </c>
      <c r="C44" s="23"/>
      <c r="D44" t="s">
        <v>238</v>
      </c>
      <c r="E44" s="239"/>
      <c r="F44" s="391" t="str">
        <f>IFERROR(VLOOKUP(D44,Calcs!B:F,5,FALSE),"")</f>
        <v/>
      </c>
      <c r="G44" s="342" t="str">
        <f>IFERROR(VLOOKUP(D44,Calcs!B:M,11,FALSE),"")</f>
        <v/>
      </c>
      <c r="H44" s="343" t="str">
        <f>IFERROR(VLOOKUP(D44,Calcs!B:M,12,FALSE),"")</f>
        <v/>
      </c>
    </row>
    <row r="45" spans="2:8" ht="14.25" hidden="1" customHeight="1">
      <c r="B45" s="35" t="str">
        <f>IFERROR(VLOOKUP(D45,Calcs!B:G,3,FALSE),"")</f>
        <v/>
      </c>
      <c r="C45" s="23"/>
      <c r="D45" t="s">
        <v>392</v>
      </c>
      <c r="E45" s="239"/>
      <c r="F45" s="391" t="str">
        <f>IFERROR(VLOOKUP(D45,Calcs!B:F,5,FALSE),"")</f>
        <v/>
      </c>
      <c r="G45" s="342" t="str">
        <f>IFERROR(VLOOKUP(D45,Calcs!B:M,11,FALSE),"")</f>
        <v/>
      </c>
      <c r="H45" s="343" t="str">
        <f>IFERROR(VLOOKUP(D45,Calcs!B:M,12,FALSE),"")</f>
        <v/>
      </c>
    </row>
    <row r="46" spans="2:8" ht="14.25" customHeight="1">
      <c r="B46" s="388" t="str">
        <f>IFERROR(VLOOKUP(D46,Calcs!B:G,3,FALSE),"")</f>
        <v>Base Plate Shield</v>
      </c>
      <c r="C46" s="389"/>
      <c r="D46" t="s">
        <v>241</v>
      </c>
      <c r="E46" s="390"/>
      <c r="F46" s="391">
        <f>IFERROR(VLOOKUP(D46,Calcs!B:F,5,FALSE),"")</f>
        <v>8</v>
      </c>
      <c r="G46" s="342">
        <f>IFERROR(VLOOKUP(D46,Calcs!B:M,11,FALSE),"")</f>
        <v>57.5</v>
      </c>
      <c r="H46" s="343">
        <f>IFERROR(VLOOKUP(D46,Calcs!B:M,12,FALSE),"")</f>
        <v>460</v>
      </c>
    </row>
    <row r="47" spans="2:8" ht="14.25" hidden="1" customHeight="1">
      <c r="B47" s="388" t="str">
        <f>IFERROR(VLOOKUP(D47,Calcs!B:G,3,FALSE),"")</f>
        <v/>
      </c>
      <c r="C47" s="389"/>
      <c r="D47" t="s">
        <v>397</v>
      </c>
      <c r="E47" s="390"/>
      <c r="F47" s="391" t="str">
        <f>IFERROR(VLOOKUP(D47,Calcs!B:F,5,FALSE),"")</f>
        <v/>
      </c>
      <c r="G47" s="342" t="str">
        <f>IFERROR(VLOOKUP(D47,Calcs!B:M,11,FALSE),"")</f>
        <v/>
      </c>
      <c r="H47" s="343" t="str">
        <f>IFERROR(VLOOKUP(D47,Calcs!B:M,12,FALSE),"")</f>
        <v/>
      </c>
    </row>
    <row r="48" spans="2:8" ht="14.25" hidden="1" customHeight="1">
      <c r="B48" s="388" t="str">
        <f>IFERROR(VLOOKUP(D48,Calcs!B:G,3,FALSE),"")</f>
        <v/>
      </c>
      <c r="C48" s="389"/>
      <c r="D48" t="s">
        <v>400</v>
      </c>
      <c r="E48" s="390"/>
      <c r="F48" s="391" t="str">
        <f>IFERROR(VLOOKUP(D48,Calcs!B:F,5,FALSE),"")</f>
        <v/>
      </c>
      <c r="G48" s="342" t="str">
        <f>IFERROR(VLOOKUP(D48,Calcs!B:M,11,FALSE),"")</f>
        <v/>
      </c>
      <c r="H48" s="343" t="str">
        <f>IFERROR(VLOOKUP(D48,Calcs!B:M,12,FALSE),"")</f>
        <v/>
      </c>
    </row>
    <row r="49" spans="2:9" ht="14.25" hidden="1" customHeight="1">
      <c r="B49" s="35" t="str">
        <f>IFERROR(VLOOKUP(D49,Calcs!B:G,3,FALSE),"")</f>
        <v/>
      </c>
      <c r="C49" s="23"/>
      <c r="D49" t="s">
        <v>402</v>
      </c>
      <c r="E49" s="239"/>
      <c r="F49" s="391" t="str">
        <f>IFERROR(VLOOKUP(D49,Calcs!B:F,5,FALSE),"")</f>
        <v/>
      </c>
      <c r="G49" s="342" t="str">
        <f>IFERROR(VLOOKUP(D49,Calcs!B:M,11,FALSE),"")</f>
        <v/>
      </c>
      <c r="H49" s="343" t="str">
        <f>IFERROR(VLOOKUP(D49,Calcs!B:M,12,FALSE),"")</f>
        <v/>
      </c>
    </row>
    <row r="50" spans="2:9" ht="14.25" hidden="1" customHeight="1">
      <c r="B50" s="35" t="str">
        <f>IFERROR(VLOOKUP(D50,Calcs!B:G,3,FALSE),"")</f>
        <v/>
      </c>
      <c r="C50" s="23"/>
      <c r="D50" t="s">
        <v>244</v>
      </c>
      <c r="E50" s="239"/>
      <c r="F50" s="391" t="str">
        <f>IFERROR(VLOOKUP(D50,Calcs!B:F,5,FALSE),"")</f>
        <v/>
      </c>
      <c r="G50" s="342" t="str">
        <f>IFERROR(VLOOKUP(D50,Calcs!B:M,11,FALSE),"")</f>
        <v/>
      </c>
      <c r="H50" s="343" t="str">
        <f>IFERROR(VLOOKUP(D50,Calcs!B:M,12,FALSE),"")</f>
        <v/>
      </c>
    </row>
    <row r="51" spans="2:9" ht="14.25" hidden="1" customHeight="1">
      <c r="B51" s="388" t="str">
        <f>IF(VLOOKUP!E14="yES","Professional Design &amp; Rendering Consulting","")</f>
        <v/>
      </c>
      <c r="C51" s="389"/>
      <c r="D51" t="s">
        <v>977</v>
      </c>
      <c r="E51" s="390"/>
      <c r="F51" s="391" t="str">
        <f>IFERROR(VLOOKUP(D51,Calcs!B:F,5,FALSE),"")</f>
        <v/>
      </c>
      <c r="G51" s="342" t="str">
        <f>IFERROR(VLOOKUP(D51,Calcs!B:M,11,FALSE),"")</f>
        <v/>
      </c>
      <c r="H51" s="343" t="str">
        <f>IFERROR(VLOOKUP(D51,Calcs!B:M,12,FALSE),"")</f>
        <v/>
      </c>
    </row>
    <row r="52" spans="2:9" ht="14.25" customHeight="1">
      <c r="B52" s="393" t="s">
        <v>405</v>
      </c>
      <c r="C52" s="394"/>
      <c r="E52" s="395"/>
      <c r="F52" s="396" t="s">
        <v>978</v>
      </c>
      <c r="G52" s="244"/>
      <c r="H52" s="253">
        <f>SUM(H21:H51)</f>
        <v>8223.6500000000015</v>
      </c>
    </row>
    <row r="53" spans="2:9" ht="14.25" customHeight="1">
      <c r="B53" s="397"/>
      <c r="C53" s="389"/>
      <c r="D53" s="389"/>
      <c r="E53" s="390"/>
      <c r="F53" s="392" t="s">
        <v>979</v>
      </c>
      <c r="G53" s="243"/>
      <c r="H53" s="265"/>
    </row>
    <row r="54" spans="2:9" ht="14.25" customHeight="1" thickBot="1">
      <c r="B54" s="549" t="s">
        <v>980</v>
      </c>
      <c r="C54" s="398"/>
      <c r="D54" s="398"/>
      <c r="E54" s="399"/>
      <c r="F54" s="400" t="s">
        <v>976</v>
      </c>
      <c r="G54" s="245"/>
      <c r="H54" s="266"/>
      <c r="I54" s="131"/>
    </row>
    <row r="55" spans="2:9" ht="14.25" hidden="1" customHeight="1">
      <c r="B55" s="388" t="s">
        <v>981</v>
      </c>
      <c r="C55" s="389"/>
      <c r="D55" s="389"/>
      <c r="E55" s="390"/>
      <c r="F55" s="401" t="s">
        <v>982</v>
      </c>
      <c r="G55" s="246"/>
      <c r="H55" s="265"/>
    </row>
    <row r="56" spans="2:9" ht="14.25" customHeight="1">
      <c r="B56" s="35" t="str">
        <f>IFERROR(VLOOKUP(D56,Calcs!B:G,3,FALSE),"")</f>
        <v>Trolley Bar</v>
      </c>
      <c r="C56" s="23"/>
      <c r="D56" s="23" t="s">
        <v>250</v>
      </c>
      <c r="E56" s="239"/>
      <c r="F56" s="250">
        <f>IFERROR(VLOOKUP(D56,Calcs!B:F,5,FALSE),"")</f>
        <v>1</v>
      </c>
      <c r="G56" s="243">
        <f>IFERROR(VLOOKUP(D56,Calcs!B:M,11,FALSE),"")</f>
        <v>32.200000000000003</v>
      </c>
      <c r="H56" s="251">
        <f>IFERROR(VLOOKUP(D56,Calcs!B:Z,12,FALSE),"")</f>
        <v>32.200000000000003</v>
      </c>
    </row>
    <row r="57" spans="2:9" ht="14.25" customHeight="1">
      <c r="B57" s="35" t="str">
        <f>IFERROR(VLOOKUP(D57,Calcs!B:G,3,FALSE),"")</f>
        <v>Trolley Bar Plate</v>
      </c>
      <c r="C57" s="23"/>
      <c r="D57" s="23" t="s">
        <v>253</v>
      </c>
      <c r="E57" s="239"/>
      <c r="F57" s="250">
        <f>IFERROR(VLOOKUP(D57,Calcs!B:F,5,FALSE),"")</f>
        <v>2</v>
      </c>
      <c r="G57" s="243">
        <f>IFERROR(VLOOKUP(D57,Calcs!B:M,11,FALSE),"")</f>
        <v>27.6</v>
      </c>
      <c r="H57" s="251">
        <f>IFERROR(VLOOKUP(D57,Calcs!B:Z,12,FALSE),"")</f>
        <v>55.2</v>
      </c>
    </row>
    <row r="58" spans="2:9" ht="14.25" hidden="1" customHeight="1">
      <c r="B58" s="35" t="str">
        <f>IFERROR(VLOOKUP(D58,Calcs!B:G,3,FALSE),"")</f>
        <v/>
      </c>
      <c r="C58" s="23"/>
      <c r="D58" s="774" t="s">
        <v>983</v>
      </c>
      <c r="E58" s="239"/>
      <c r="F58" s="250" t="str">
        <f>IFERROR(VLOOKUP(D58,Calcs!B:F,5,FALSE),"")</f>
        <v/>
      </c>
      <c r="G58" s="243" t="str">
        <f>IFERROR(VLOOKUP(D58,Calcs!B:M,11,FALSE),"")</f>
        <v/>
      </c>
      <c r="H58" s="251" t="str">
        <f>IFERROR(VLOOKUP(D58,Calcs!B:Z,12,FALSE),"")</f>
        <v/>
      </c>
    </row>
    <row r="59" spans="2:9" ht="14.25" customHeight="1">
      <c r="B59" s="35" t="str">
        <f>IFERROR(VLOOKUP(D59,Calcs!B:G,3,FALSE),"")</f>
        <v>9' Aluminum Enclosed Rail 550lbs. Max Weight</v>
      </c>
      <c r="C59" s="23"/>
      <c r="D59" s="774" t="s">
        <v>984</v>
      </c>
      <c r="E59" s="239"/>
      <c r="F59" s="250">
        <f>IFERROR(VLOOKUP(D59,Calcs!B:F,5,FALSE),"")</f>
        <v>2</v>
      </c>
      <c r="G59" s="243">
        <f>IFERROR(VLOOKUP(D59,Calcs!B:M,11,FALSE),"")</f>
        <v>445.05</v>
      </c>
      <c r="H59" s="251">
        <f>IFERROR(VLOOKUP(D59,Calcs!B:Z,12,FALSE),"")</f>
        <v>890.1</v>
      </c>
    </row>
    <row r="60" spans="2:9" ht="14.25" hidden="1" customHeight="1">
      <c r="B60" s="35" t="str">
        <f>IFERROR(VLOOKUP(D60,Calcs!B:G,3,FALSE),"")</f>
        <v/>
      </c>
      <c r="C60" s="23"/>
      <c r="D60" s="774" t="s">
        <v>985</v>
      </c>
      <c r="E60" s="239"/>
      <c r="F60" s="250" t="str">
        <f>IFERROR(VLOOKUP(D60,Calcs!B:F,5,FALSE),"")</f>
        <v/>
      </c>
      <c r="G60" s="243" t="str">
        <f>IFERROR(VLOOKUP(D60,Calcs!B:M,11,FALSE),"")</f>
        <v/>
      </c>
      <c r="H60" s="251" t="str">
        <f>IFERROR(VLOOKUP(D60,Calcs!B:Z,12,FALSE),"")</f>
        <v/>
      </c>
    </row>
    <row r="61" spans="2:9" ht="14.25" hidden="1" customHeight="1">
      <c r="B61" s="35" t="str">
        <f>IFERROR(VLOOKUP(D61,Calcs!B:G,3,FALSE),"")</f>
        <v/>
      </c>
      <c r="C61" s="23"/>
      <c r="D61" s="774" t="s">
        <v>986</v>
      </c>
      <c r="E61" s="239"/>
      <c r="F61" s="250" t="str">
        <f>IFERROR(VLOOKUP(D61,Calcs!B:F,5,FALSE),"")</f>
        <v/>
      </c>
      <c r="G61" s="243" t="str">
        <f>IFERROR(VLOOKUP(D61,Calcs!B:M,11,FALSE),"")</f>
        <v/>
      </c>
      <c r="H61" s="251" t="str">
        <f>IFERROR(VLOOKUP(D61,Calcs!B:Z,12,FALSE),"")</f>
        <v/>
      </c>
    </row>
    <row r="62" spans="2:9" ht="14.25" customHeight="1">
      <c r="B62" s="35" t="str">
        <f>IFERROR(VLOOKUP(D62,Calcs!B:G,3,FALSE),"")</f>
        <v>Universal Threaded Rod Hanger</v>
      </c>
      <c r="C62" s="23"/>
      <c r="D62" s="774" t="s">
        <v>987</v>
      </c>
      <c r="E62" s="239"/>
      <c r="F62" s="250">
        <f>IFERROR(VLOOKUP(D62,Calcs!B:F,5,FALSE),"")</f>
        <v>6</v>
      </c>
      <c r="G62" s="243">
        <f>IFERROR(VLOOKUP(D62,Calcs!B:M,11,FALSE),"")</f>
        <v>259.89999999999998</v>
      </c>
      <c r="H62" s="251">
        <f>IFERROR(VLOOKUP(D62,Calcs!B:Z,12,FALSE),"")</f>
        <v>1559.3999999999999</v>
      </c>
    </row>
    <row r="63" spans="2:9" ht="14.25" customHeight="1">
      <c r="B63" s="35" t="str">
        <f>IFERROR(VLOOKUP(D63,Calcs!B:G,3,FALSE),"")</f>
        <v>End Cap for Rail</v>
      </c>
      <c r="C63" s="23"/>
      <c r="D63" s="774" t="s">
        <v>988</v>
      </c>
      <c r="E63" s="239"/>
      <c r="F63" s="250">
        <f>IFERROR(VLOOKUP(D63,Calcs!B:F,5,FALSE),"")</f>
        <v>4</v>
      </c>
      <c r="G63" s="243">
        <f>IFERROR(VLOOKUP(D63,Calcs!B:M,11,FALSE),"")</f>
        <v>131.1</v>
      </c>
      <c r="H63" s="251">
        <f>IFERROR(VLOOKUP(D63,Calcs!B:Z,12,FALSE),"")</f>
        <v>524.4</v>
      </c>
    </row>
    <row r="64" spans="2:9" ht="14.25" customHeight="1">
      <c r="B64" s="35" t="str">
        <f>IFERROR(VLOOKUP(D64,Calcs!B:G,3,FALSE),"")</f>
        <v>Trolley for Rail</v>
      </c>
      <c r="C64" s="23"/>
      <c r="D64" s="774" t="s">
        <v>989</v>
      </c>
      <c r="E64" s="239"/>
      <c r="F64" s="250">
        <f>IFERROR(VLOOKUP(D64,Calcs!B:F,5,FALSE),"")</f>
        <v>2</v>
      </c>
      <c r="G64" s="243">
        <f>IFERROR(VLOOKUP(D64,Calcs!B:M,11,FALSE),"")</f>
        <v>243.8</v>
      </c>
      <c r="H64" s="251">
        <f>IFERROR(VLOOKUP(D64,Calcs!B:Z,12,FALSE),"")</f>
        <v>487.6</v>
      </c>
    </row>
    <row r="65" spans="2:8" ht="14.25" customHeight="1">
      <c r="B65" s="393" t="s">
        <v>405</v>
      </c>
      <c r="C65" s="394"/>
      <c r="D65" s="394"/>
      <c r="E65" s="395"/>
      <c r="F65" s="396" t="s">
        <v>978</v>
      </c>
      <c r="G65" s="247"/>
      <c r="H65" s="253">
        <f>SUM(H56:H64)</f>
        <v>3548.8999999999996</v>
      </c>
    </row>
    <row r="66" spans="2:8" ht="14.25" customHeight="1">
      <c r="B66" s="393"/>
      <c r="C66" s="394"/>
      <c r="D66" s="394"/>
      <c r="E66" s="395"/>
      <c r="F66" s="396" t="s">
        <v>979</v>
      </c>
      <c r="G66" s="247"/>
      <c r="H66" s="267"/>
    </row>
    <row r="67" spans="2:8" ht="14.25" customHeight="1" thickBot="1">
      <c r="B67" s="794" t="s">
        <v>990</v>
      </c>
      <c r="C67" s="402"/>
      <c r="D67" s="398"/>
      <c r="E67" s="399"/>
      <c r="F67" s="400" t="s">
        <v>976</v>
      </c>
      <c r="G67" s="245"/>
      <c r="H67" s="266"/>
    </row>
    <row r="68" spans="2:8" ht="14.25" hidden="1" customHeight="1">
      <c r="B68" s="388" t="s">
        <v>981</v>
      </c>
      <c r="C68" s="389"/>
      <c r="D68" s="389"/>
      <c r="E68" s="390"/>
      <c r="F68" s="392" t="s">
        <v>991</v>
      </c>
      <c r="G68" s="243"/>
      <c r="H68" s="265"/>
    </row>
    <row r="69" spans="2:8" ht="14.25" hidden="1" customHeight="1">
      <c r="B69" s="560" t="s">
        <v>992</v>
      </c>
      <c r="C69" s="389"/>
      <c r="D69" s="389"/>
      <c r="E69" s="390"/>
      <c r="F69" s="392" t="str">
        <f>IF(SUM(F70:F73)&gt;=1,1,"")</f>
        <v/>
      </c>
      <c r="G69" s="243"/>
      <c r="H69" s="265"/>
    </row>
    <row r="70" spans="2:8" ht="14.25" hidden="1" customHeight="1">
      <c r="B70" s="163" t="str">
        <f>IFERROR(VLOOKUP(D70,Calcs!B:G,3,FALSE),"")</f>
        <v/>
      </c>
      <c r="C70" s="282" t="s">
        <v>993</v>
      </c>
      <c r="D70" s="774" t="s">
        <v>415</v>
      </c>
      <c r="E70" s="241" t="s">
        <v>994</v>
      </c>
      <c r="F70" s="250" t="str">
        <f>IFERROR(VLOOKUP(D70,Calcs!B:F,5,FALSE),"")</f>
        <v/>
      </c>
      <c r="G70" s="465" t="str">
        <f>IFERROR(VLOOKUP(D70,Calcs!B:M,11,FALSE),"")</f>
        <v/>
      </c>
      <c r="H70" s="265" t="str">
        <f>IFERROR(VLOOKUP(D70,Calcs!B:N,12,FALSE),"")</f>
        <v/>
      </c>
    </row>
    <row r="71" spans="2:8" ht="14.25" hidden="1" customHeight="1">
      <c r="B71" s="163" t="str">
        <f>IFERROR(VLOOKUP(D71,Calcs!B:G,3,FALSE),"")</f>
        <v/>
      </c>
      <c r="C71" s="282"/>
      <c r="D71" s="774" t="s">
        <v>424</v>
      </c>
      <c r="E71" s="241" t="s">
        <v>995</v>
      </c>
      <c r="F71" s="250">
        <f>IFERROR(VLOOKUP(D71,Calcs!B:F,5,FALSE),0)</f>
        <v>0</v>
      </c>
      <c r="G71" s="465" t="str">
        <f>IFERROR(VLOOKUP(D71,Calcs!B:M,11,FALSE),"")</f>
        <v/>
      </c>
      <c r="H71" s="265" t="str">
        <f>IFERROR(VLOOKUP(D71,Calcs!B:N,12,FALSE),"")</f>
        <v/>
      </c>
    </row>
    <row r="72" spans="2:8" ht="14.25" hidden="1" customHeight="1">
      <c r="B72" s="557" t="str">
        <f>IF(F68&gt;0.99,"Passthrough Freight Charge (Required)",0)</f>
        <v>Passthrough Freight Charge (Required)</v>
      </c>
      <c r="C72" s="282"/>
      <c r="D72" s="144" t="s">
        <v>996</v>
      </c>
      <c r="E72" s="241" t="s">
        <v>995</v>
      </c>
      <c r="F72" s="250">
        <f>IF(F71&gt;=1,1,0)</f>
        <v>0</v>
      </c>
      <c r="G72" s="465"/>
      <c r="H72" s="561" t="str">
        <f>IF(F72=1,"TBD","")</f>
        <v/>
      </c>
    </row>
    <row r="73" spans="2:8" ht="14.25" hidden="1" customHeight="1">
      <c r="B73" s="163" t="str">
        <f>IFERROR(VLOOKUP(D73,Calcs!B:G,3,FALSE),"")</f>
        <v/>
      </c>
      <c r="C73" s="282"/>
      <c r="D73" s="779">
        <v>150045</v>
      </c>
      <c r="E73" s="241"/>
      <c r="F73" s="250">
        <f>IFERROR(VLOOKUP(D73,Calcs!B:F,5,FALSE),0)</f>
        <v>0</v>
      </c>
      <c r="G73" s="465" t="str">
        <f>IFERROR(VLOOKUP(D73,Calcs!B:M,11,FALSE),"")</f>
        <v/>
      </c>
      <c r="H73" s="265" t="str">
        <f>IFERROR(VLOOKUP(D73,Calcs!B:N,12,FALSE),"")</f>
        <v/>
      </c>
    </row>
    <row r="74" spans="2:8" ht="14.25" hidden="1" customHeight="1">
      <c r="B74" s="557" t="str">
        <f>IF(F70&gt;0.99,"Passthrough Freight Charge (Required)",0)</f>
        <v>Passthrough Freight Charge (Required)</v>
      </c>
      <c r="C74" s="282"/>
      <c r="D74" s="144" t="s">
        <v>628</v>
      </c>
      <c r="E74" s="241" t="s">
        <v>995</v>
      </c>
      <c r="F74" s="250">
        <f>IF(F73&gt;=1,1,0)</f>
        <v>0</v>
      </c>
      <c r="G74" s="465"/>
      <c r="H74" s="561" t="str">
        <f>IF(F74=1,"TBD","")</f>
        <v/>
      </c>
    </row>
    <row r="75" spans="2:8" ht="14.25" hidden="1" customHeight="1">
      <c r="B75" s="163" t="str">
        <f>IFERROR(VLOOKUP(D75,Calcs!B:G,3,FALSE),"")</f>
        <v/>
      </c>
      <c r="C75" s="282"/>
      <c r="D75" s="144" t="s">
        <v>427</v>
      </c>
      <c r="E75" s="241"/>
      <c r="F75" s="250">
        <f>IFERROR(VLOOKUP(D75,Calcs!B:F,5,FALSE),0)</f>
        <v>0</v>
      </c>
      <c r="G75" s="465" t="str">
        <f>IFERROR(VLOOKUP(D75,Calcs!B:M,11,FALSE),"")</f>
        <v/>
      </c>
      <c r="H75" s="265" t="str">
        <f>IFERROR(VLOOKUP(D75,Calcs!B:N,12,FALSE),"")</f>
        <v/>
      </c>
    </row>
    <row r="76" spans="2:8" ht="14.25" hidden="1" customHeight="1">
      <c r="B76" s="542"/>
      <c r="C76" s="282"/>
      <c r="D76" s="774"/>
      <c r="E76" s="241"/>
      <c r="F76" s="250"/>
      <c r="G76" s="465"/>
      <c r="H76" s="265"/>
    </row>
    <row r="77" spans="2:8" ht="14.25" customHeight="1">
      <c r="B77" s="550" t="s">
        <v>997</v>
      </c>
      <c r="C77" s="403"/>
      <c r="D77" s="74"/>
      <c r="E77" s="404"/>
      <c r="F77" s="392">
        <f>IF(SUM(F78:F80)&gt;=1,1,"")</f>
        <v>1</v>
      </c>
      <c r="G77" s="465"/>
      <c r="H77" s="265"/>
    </row>
    <row r="78" spans="2:8" ht="14.25" hidden="1" customHeight="1">
      <c r="B78" s="163" t="str">
        <f>IFERROR(VLOOKUP(D78,Calcs!B:G,3,FALSE),"")</f>
        <v/>
      </c>
      <c r="C78" s="282" t="s">
        <v>993</v>
      </c>
      <c r="D78" s="774" t="s">
        <v>433</v>
      </c>
      <c r="E78" s="241" t="s">
        <v>994</v>
      </c>
      <c r="F78" s="250" t="str">
        <f>IFERROR(VLOOKUP(D78,Calcs!B:F,5,FALSE),"")</f>
        <v/>
      </c>
      <c r="G78" s="465" t="str">
        <f>IFERROR(VLOOKUP(D78,Calcs!B:M,11,FALSE),"")</f>
        <v/>
      </c>
      <c r="H78" s="265" t="str">
        <f>IFERROR(VLOOKUP(D78,Calcs!B:N,12,FALSE),"")</f>
        <v/>
      </c>
    </row>
    <row r="79" spans="2:8" ht="14.25" hidden="1" customHeight="1">
      <c r="B79" s="163" t="str">
        <f>IFERROR(VLOOKUP(D79,Calcs!B:G,3,FALSE),"")</f>
        <v/>
      </c>
      <c r="C79" s="282"/>
      <c r="D79" s="774" t="s">
        <v>397</v>
      </c>
      <c r="E79" s="241"/>
      <c r="F79" s="250" t="str">
        <f>IFERROR(VLOOKUP(D79,Calcs!B:F,5,FALSE),"")</f>
        <v/>
      </c>
      <c r="G79" s="465" t="str">
        <f>IFERROR(VLOOKUP(D79,Calcs!B:M,11,FALSE),"")</f>
        <v/>
      </c>
      <c r="H79" s="265" t="str">
        <f>IFERROR(VLOOKUP(D79,Calcs!B:N,12,FALSE),"")</f>
        <v/>
      </c>
    </row>
    <row r="80" spans="2:8" ht="14.25" customHeight="1">
      <c r="B80" s="163" t="str">
        <f>IFERROR(VLOOKUP(D80,Calcs!B:G,3,FALSE),"")</f>
        <v>Adventure Climbing Wall - Wall Mounted-Metal Studs (Includes Climbing Holds)</v>
      </c>
      <c r="C80" s="282"/>
      <c r="D80" s="774" t="s">
        <v>435</v>
      </c>
      <c r="E80" s="241" t="s">
        <v>994</v>
      </c>
      <c r="F80" s="250">
        <f>IFERROR(VLOOKUP(D80,Calcs!B:F,5,FALSE),"")</f>
        <v>1</v>
      </c>
      <c r="G80" s="465">
        <f>IFERROR(VLOOKUP(D80,Calcs!B:M,11,FALSE),"")</f>
        <v>2442.6</v>
      </c>
      <c r="H80" s="265">
        <f>IFERROR(VLOOKUP(D80,Calcs!B:N,12,FALSE),"")</f>
        <v>2442.6</v>
      </c>
    </row>
    <row r="81" spans="2:8" ht="14.25" hidden="1" customHeight="1">
      <c r="B81" s="550" t="s">
        <v>998</v>
      </c>
      <c r="C81" s="282"/>
      <c r="D81" s="774"/>
      <c r="E81" s="241"/>
      <c r="F81" s="546" t="str">
        <f>IF(SUM(F82)&gt;=1,1,"")</f>
        <v/>
      </c>
      <c r="G81" s="465"/>
      <c r="H81" s="265"/>
    </row>
    <row r="82" spans="2:8" ht="14.25" hidden="1" customHeight="1">
      <c r="B82" s="163" t="str">
        <f>IFERROR(VLOOKUP(D82,Calcs!B:G,3,FALSE),"")</f>
        <v/>
      </c>
      <c r="C82" s="282"/>
      <c r="D82" s="774" t="s">
        <v>402</v>
      </c>
      <c r="E82" s="241"/>
      <c r="F82" s="250" t="str">
        <f>IFERROR(VLOOKUP(D82,Calcs!B:F,5,FALSE),"")</f>
        <v/>
      </c>
      <c r="G82" s="465" t="str">
        <f>IFERROR(VLOOKUP(D82,Calcs!B:M,11,FALSE),"")</f>
        <v/>
      </c>
      <c r="H82" s="265" t="str">
        <f>IFERROR(VLOOKUP(D82,Calcs!B:N,12,FALSE),"")</f>
        <v/>
      </c>
    </row>
    <row r="83" spans="2:8" ht="14.25" hidden="1" customHeight="1">
      <c r="B83" s="151" t="str">
        <f>IFERROR(VLOOKUP(D83,Calcs!B:G,3,FALSE),"")</f>
        <v/>
      </c>
      <c r="C83" s="282"/>
      <c r="D83" s="774" t="s">
        <v>445</v>
      </c>
      <c r="E83" s="241"/>
      <c r="F83" s="250" t="str">
        <f>IFERROR(VLOOKUP(D83,Calcs!B:F,5,FALSE),"")</f>
        <v/>
      </c>
      <c r="G83" s="465" t="str">
        <f>IFERROR(VLOOKUP(D83,Calcs!B:M,11,FALSE),"")</f>
        <v/>
      </c>
      <c r="H83" s="265" t="str">
        <f>IFERROR(VLOOKUP(D83,Calcs!B:N,12,FALSE),"")</f>
        <v/>
      </c>
    </row>
    <row r="84" spans="2:8" ht="14.25" hidden="1" customHeight="1">
      <c r="B84" s="151" t="str">
        <f>IFERROR(VLOOKUP(D84,Calcs!B:G,3,FALSE),"")</f>
        <v/>
      </c>
      <c r="C84" s="282"/>
      <c r="D84" s="774" t="s">
        <v>437</v>
      </c>
      <c r="E84" s="241"/>
      <c r="F84" s="250" t="str">
        <f>IFERROR(VLOOKUP(D84,Calcs!B:F,5,FALSE),"")</f>
        <v/>
      </c>
      <c r="G84" s="465" t="str">
        <f>IFERROR(VLOOKUP(D84,Calcs!B:M,11,FALSE),"")</f>
        <v/>
      </c>
      <c r="H84" s="265" t="str">
        <f>IFERROR(VLOOKUP(D84,Calcs!B:N,12,FALSE),"")</f>
        <v/>
      </c>
    </row>
    <row r="85" spans="2:8" ht="14.25" hidden="1" customHeight="1">
      <c r="B85" s="163" t="str">
        <f>IF(B84="adjustable Indoor Climbing Wall","Adjustable Indoor Climbing Wall - Freight Charge","")</f>
        <v/>
      </c>
      <c r="C85" s="282"/>
      <c r="D85" s="774" t="s">
        <v>999</v>
      </c>
      <c r="E85" s="241"/>
      <c r="F85" s="250" t="str">
        <f>IF(F84=1,1,"")</f>
        <v/>
      </c>
      <c r="G85" s="465" t="str">
        <f>IFERROR(VLOOKUP(D85,Calcs!B:M,11,FALSE),"")</f>
        <v/>
      </c>
      <c r="H85" s="265" t="str">
        <f>IFERROR(VLOOKUP(D85,Calcs!B:N,12,FALSE),"")</f>
        <v/>
      </c>
    </row>
    <row r="86" spans="2:8" ht="14.25" hidden="1" customHeight="1">
      <c r="B86" s="771" t="s">
        <v>1000</v>
      </c>
      <c r="C86" s="768"/>
      <c r="D86" s="74"/>
      <c r="E86" s="769" t="s">
        <v>734</v>
      </c>
      <c r="F86" s="770" t="str">
        <f>IF(SUM(F87:F117)&gt;=1,1,"")</f>
        <v/>
      </c>
      <c r="G86" s="465"/>
      <c r="H86" s="265"/>
    </row>
    <row r="87" spans="2:8" ht="14.25" hidden="1" customHeight="1">
      <c r="B87" s="163" t="str">
        <f>IFERROR(VLOOKUP(D87,Calcs!B:G,3,FALSE),"")</f>
        <v/>
      </c>
      <c r="C87" s="282" t="s">
        <v>993</v>
      </c>
      <c r="D87" s="774" t="s">
        <v>429</v>
      </c>
      <c r="E87" s="241" t="s">
        <v>994</v>
      </c>
      <c r="F87" s="250" t="str">
        <f>IFERROR(VLOOKUP(D87,Calcs!B:F,5,FALSE),"")</f>
        <v/>
      </c>
      <c r="G87" s="465" t="str">
        <f>IFERROR(VLOOKUP(D87,Calcs!B:M,11,FALSE),"")</f>
        <v/>
      </c>
      <c r="H87" s="265" t="str">
        <f>IFERROR(VLOOKUP(D87,Calcs!B:N,12,FALSE),"")</f>
        <v/>
      </c>
    </row>
    <row r="88" spans="2:8" ht="14.25" hidden="1" customHeight="1">
      <c r="B88" s="163" t="str">
        <f>IFERROR(VLOOKUP(D88,Calcs!B:G,3,FALSE),"")</f>
        <v/>
      </c>
      <c r="C88" s="23"/>
      <c r="D88" t="s">
        <v>431</v>
      </c>
      <c r="E88" s="241" t="s">
        <v>994</v>
      </c>
      <c r="F88" s="250" t="str">
        <f>IFERROR(VLOOKUP(D88,Calcs!B:F,5,FALSE),"")</f>
        <v/>
      </c>
      <c r="G88" s="465" t="str">
        <f>IFERROR(VLOOKUP(D88,Calcs!B:M,11,FALSE),"")</f>
        <v/>
      </c>
      <c r="H88" s="265" t="str">
        <f>IFERROR(VLOOKUP(D88,Calcs!B:N,12,FALSE),"")</f>
        <v/>
      </c>
    </row>
    <row r="89" spans="2:8" ht="14.25" hidden="1" customHeight="1">
      <c r="B89" s="163" t="str">
        <f>IFERROR(VLOOKUP(D89,Calcs!B:G,3,FALSE),"")</f>
        <v/>
      </c>
      <c r="C89" s="282" t="s">
        <v>993</v>
      </c>
      <c r="D89" t="s">
        <v>561</v>
      </c>
      <c r="E89" s="241"/>
      <c r="F89" s="250" t="str">
        <f>IFERROR(VLOOKUP(D89,Calcs!B:F,5,FALSE),"")</f>
        <v/>
      </c>
      <c r="G89" s="465" t="str">
        <f>IFERROR(VLOOKUP(D89,Calcs!B:M,11,FALSE),"")</f>
        <v/>
      </c>
      <c r="H89" s="265" t="str">
        <f>IFERROR(VLOOKUP(D89,Calcs!B:N,12,FALSE),"")</f>
        <v/>
      </c>
    </row>
    <row r="90" spans="2:8" ht="14.25" hidden="1" customHeight="1">
      <c r="B90" s="163" t="str">
        <f>IFERROR(VLOOKUP(D90,Calcs!B:G,3,FALSE),"")</f>
        <v/>
      </c>
      <c r="C90" s="282" t="s">
        <v>993</v>
      </c>
      <c r="D90" t="s">
        <v>565</v>
      </c>
      <c r="E90" s="241"/>
      <c r="F90" s="250" t="str">
        <f>IFERROR(VLOOKUP(D90,Calcs!B:F,5,FALSE),"")</f>
        <v/>
      </c>
      <c r="G90" s="465" t="str">
        <f>IFERROR(VLOOKUP(D90,Calcs!B:M,11,FALSE),"")</f>
        <v/>
      </c>
      <c r="H90" s="265" t="str">
        <f>IFERROR(VLOOKUP(D90,Calcs!B:N,12,FALSE),"")</f>
        <v/>
      </c>
    </row>
    <row r="91" spans="2:8" ht="14.25" hidden="1" customHeight="1">
      <c r="B91" s="163" t="str">
        <f>IFERROR(VLOOKUP(D91,Calcs!B:G,3,FALSE),"")</f>
        <v/>
      </c>
      <c r="C91" s="282" t="s">
        <v>993</v>
      </c>
      <c r="D91" t="s">
        <v>567</v>
      </c>
      <c r="E91" s="241"/>
      <c r="F91" s="250" t="str">
        <f>IFERROR(VLOOKUP(D91,Calcs!B:F,5,FALSE),"")</f>
        <v/>
      </c>
      <c r="G91" s="465" t="str">
        <f>IFERROR(VLOOKUP(D91,Calcs!B:M,11,FALSE),"")</f>
        <v/>
      </c>
      <c r="H91" s="265" t="str">
        <f>IFERROR(VLOOKUP(D91,Calcs!B:N,12,FALSE),"")</f>
        <v/>
      </c>
    </row>
    <row r="92" spans="2:8" ht="14.25" hidden="1" customHeight="1">
      <c r="B92" s="163" t="str">
        <f>IFERROR(VLOOKUP(D92,Calcs!B:G,3,FALSE),"")</f>
        <v/>
      </c>
      <c r="C92" s="282" t="s">
        <v>993</v>
      </c>
      <c r="D92" t="s">
        <v>569</v>
      </c>
      <c r="E92" s="241"/>
      <c r="F92" s="250" t="str">
        <f>IFERROR(VLOOKUP(D92,Calcs!B:F,5,FALSE),"")</f>
        <v/>
      </c>
      <c r="G92" s="465" t="str">
        <f>IFERROR(VLOOKUP(D92,Calcs!B:M,11,FALSE),"")</f>
        <v/>
      </c>
      <c r="H92" s="265" t="str">
        <f>IFERROR(VLOOKUP(D92,Calcs!B:N,12,FALSE),"")</f>
        <v/>
      </c>
    </row>
    <row r="93" spans="2:8" ht="14.25" hidden="1" customHeight="1">
      <c r="B93" s="163" t="str">
        <f>IFERROR(VLOOKUP(D93,Calcs!B:G,3,FALSE),"")</f>
        <v/>
      </c>
      <c r="C93" s="282" t="s">
        <v>993</v>
      </c>
      <c r="D93" t="s">
        <v>1001</v>
      </c>
      <c r="E93" s="241"/>
      <c r="F93" s="250" t="str">
        <f>IFERROR(VLOOKUP(D93,Calcs!B:F,5,FALSE),"")</f>
        <v/>
      </c>
      <c r="G93" s="465" t="str">
        <f>IFERROR(VLOOKUP(D93,Calcs!B:M,11,FALSE),"")</f>
        <v/>
      </c>
      <c r="H93" s="265" t="str">
        <f>IFERROR(VLOOKUP(D93,Calcs!B:N,12,FALSE),"")</f>
        <v/>
      </c>
    </row>
    <row r="94" spans="2:8" ht="14.25" hidden="1" customHeight="1">
      <c r="B94" s="163" t="str">
        <f>IFERROR(VLOOKUP(D94,Calcs!B:G,3,FALSE),"")</f>
        <v/>
      </c>
      <c r="C94" s="282" t="s">
        <v>993</v>
      </c>
      <c r="D94" t="s">
        <v>583</v>
      </c>
      <c r="E94" s="241"/>
      <c r="F94" s="250" t="str">
        <f>IFERROR(VLOOKUP(D94,Calcs!B:F,5,FALSE),"")</f>
        <v/>
      </c>
      <c r="G94" s="465" t="str">
        <f>IFERROR(VLOOKUP(D94,Calcs!B:M,11,FALSE),"")</f>
        <v/>
      </c>
      <c r="H94" s="265" t="str">
        <f>IFERROR(VLOOKUP(D94,Calcs!B:N,12,FALSE),"")</f>
        <v/>
      </c>
    </row>
    <row r="95" spans="2:8" ht="14.25" hidden="1" customHeight="1">
      <c r="B95" s="163" t="str">
        <f>IFERROR(VLOOKUP(D95,Calcs!B:G,3,FALSE),"")</f>
        <v/>
      </c>
      <c r="C95" s="282" t="s">
        <v>993</v>
      </c>
      <c r="D95" s="354" t="s">
        <v>589</v>
      </c>
      <c r="E95" s="241" t="s">
        <v>994</v>
      </c>
      <c r="F95" s="250" t="str">
        <f>IFERROR(VLOOKUP(D95,Calcs!B:F,5,FALSE),"")</f>
        <v/>
      </c>
      <c r="G95" s="465" t="str">
        <f>IFERROR(VLOOKUP(D95,Calcs!B:M,11,FALSE),"")</f>
        <v/>
      </c>
      <c r="H95" s="265" t="str">
        <f>IFERROR(VLOOKUP(D95,Calcs!B:N,12,FALSE),"")</f>
        <v/>
      </c>
    </row>
    <row r="96" spans="2:8" ht="14.25" hidden="1" customHeight="1">
      <c r="B96" s="163" t="str">
        <f>IFERROR(VLOOKUP(D96,Calcs!B:G,3,FALSE),"")</f>
        <v/>
      </c>
      <c r="C96" s="282"/>
      <c r="D96" s="355" t="s">
        <v>1002</v>
      </c>
      <c r="E96" s="241" t="s">
        <v>1003</v>
      </c>
      <c r="F96" s="250" t="str">
        <f>IFERROR(VLOOKUP(D96,Calcs!B:F,5,FALSE),"")</f>
        <v/>
      </c>
      <c r="G96" s="465" t="str">
        <f>IFERROR(VLOOKUP(D96,Calcs!B:M,11,FALSE),"")</f>
        <v/>
      </c>
      <c r="H96" s="265" t="str">
        <f>IFERROR(VLOOKUP(D96,Calcs!B:N,12,FALSE),"")</f>
        <v/>
      </c>
    </row>
    <row r="97" spans="2:8" ht="14.25" hidden="1" customHeight="1">
      <c r="B97" s="163"/>
      <c r="C97" s="282"/>
      <c r="D97" s="354" t="s">
        <v>1004</v>
      </c>
      <c r="E97" s="241" t="s">
        <v>994</v>
      </c>
      <c r="F97" s="250" t="str">
        <f>IFERROR(VLOOKUP(D97,Calcs!B:F,5,FALSE),"")</f>
        <v/>
      </c>
      <c r="G97" s="465" t="str">
        <f>IFERROR(VLOOKUP(D97,Calcs!B:M,11,FALSE),"")</f>
        <v/>
      </c>
      <c r="H97" s="265" t="str">
        <f>IFERROR(VLOOKUP(D97,Calcs!B:N,12,FALSE),"")</f>
        <v/>
      </c>
    </row>
    <row r="98" spans="2:8" ht="14.25" hidden="1" customHeight="1">
      <c r="B98" s="163"/>
      <c r="C98" s="282"/>
      <c r="D98" s="354" t="s">
        <v>1005</v>
      </c>
      <c r="E98" s="241" t="s">
        <v>994</v>
      </c>
      <c r="F98" s="250" t="str">
        <f>IFERROR(VLOOKUP(D98,Calcs!B:F,5,FALSE),"")</f>
        <v/>
      </c>
      <c r="G98" s="465" t="str">
        <f>IFERROR(VLOOKUP(D98,Calcs!B:M,11,FALSE),"")</f>
        <v/>
      </c>
      <c r="H98" s="265" t="str">
        <f>IFERROR(VLOOKUP(D98,Calcs!B:N,12,FALSE),"")</f>
        <v/>
      </c>
    </row>
    <row r="99" spans="2:8" ht="14.25" hidden="1" customHeight="1">
      <c r="B99" s="163"/>
      <c r="C99" s="282"/>
      <c r="D99" s="354" t="s">
        <v>1006</v>
      </c>
      <c r="E99" s="241" t="s">
        <v>994</v>
      </c>
      <c r="F99" s="250" t="str">
        <f>IFERROR(VLOOKUP(D99,Calcs!B:F,5,FALSE),"")</f>
        <v/>
      </c>
      <c r="G99" s="465" t="str">
        <f>IFERROR(VLOOKUP(D99,Calcs!B:M,11,FALSE),"")</f>
        <v/>
      </c>
      <c r="H99" s="265" t="str">
        <f>IFERROR(VLOOKUP(D99,Calcs!B:N,12,FALSE),"")</f>
        <v/>
      </c>
    </row>
    <row r="100" spans="2:8" ht="14.25" hidden="1" customHeight="1">
      <c r="B100" s="163" t="str">
        <f>IFERROR(VLOOKUP(D100,Calcs!B:G,3,FALSE),"")</f>
        <v/>
      </c>
      <c r="C100" s="282" t="s">
        <v>993</v>
      </c>
      <c r="D100" s="148">
        <v>120040</v>
      </c>
      <c r="E100" s="241"/>
      <c r="F100" s="250">
        <f>IFERROR(VLOOKUP(D100,Calcs!B:F,5,FALSE),0)</f>
        <v>0</v>
      </c>
      <c r="G100" s="465" t="str">
        <f>IFERROR(VLOOKUP(D100,Calcs!B:M,11,FALSE),"")</f>
        <v/>
      </c>
      <c r="H100" s="561" t="str">
        <f>IFERROR(VLOOKUP(D100,Calcs!B:N,12,FALSE),"")</f>
        <v/>
      </c>
    </row>
    <row r="101" spans="2:8" ht="14.25" hidden="1" customHeight="1">
      <c r="B101" s="772" t="str">
        <f>IF(F100&gt;0.99,"Passthrough Freight Charge (Required)","")</f>
        <v/>
      </c>
      <c r="C101" s="282"/>
      <c r="D101" s="148" t="s">
        <v>628</v>
      </c>
      <c r="E101" s="241"/>
      <c r="F101" s="250">
        <f>IF(F100&gt;=1,1,0)</f>
        <v>0</v>
      </c>
      <c r="G101" s="465"/>
      <c r="H101" s="561" t="str">
        <f>IF(F101=1,"TBD","")</f>
        <v/>
      </c>
    </row>
    <row r="102" spans="2:8" ht="14.25" hidden="1" customHeight="1">
      <c r="B102" s="163" t="str">
        <f>IFERROR(VLOOKUP(D102,Calcs!B:G,3,FALSE),"")</f>
        <v/>
      </c>
      <c r="C102" s="282" t="s">
        <v>993</v>
      </c>
      <c r="D102" s="148">
        <v>120050</v>
      </c>
      <c r="E102" s="241" t="s">
        <v>994</v>
      </c>
      <c r="F102" s="250">
        <f>IFERROR(VLOOKUP(D102,Calcs!B:F,5,FALSE),0)</f>
        <v>0</v>
      </c>
      <c r="G102" s="465" t="str">
        <f>IFERROR(VLOOKUP(D102,Calcs!B:M,11,FALSE),"")</f>
        <v/>
      </c>
      <c r="H102" s="561" t="str">
        <f>IFERROR(VLOOKUP(D102,Calcs!B:N,12,FALSE),"")</f>
        <v/>
      </c>
    </row>
    <row r="103" spans="2:8" ht="14.25" hidden="1" customHeight="1">
      <c r="B103" s="772" t="str">
        <f>IF(F102&gt;0.99,"Passthrough Freight Charge (Required)","")</f>
        <v/>
      </c>
      <c r="C103" s="282"/>
      <c r="D103" s="148" t="s">
        <v>628</v>
      </c>
      <c r="E103" s="241"/>
      <c r="F103" s="250">
        <f>IF(F102&gt;=1,1,0)</f>
        <v>0</v>
      </c>
      <c r="G103" s="465"/>
      <c r="H103" s="561" t="str">
        <f>IF(F103=1,"TBD","")</f>
        <v/>
      </c>
    </row>
    <row r="104" spans="2:8" ht="14.25" hidden="1" customHeight="1">
      <c r="B104" s="163" t="str">
        <f>IFERROR(VLOOKUP(D104,Calcs!B:G,3,FALSE),"")</f>
        <v/>
      </c>
      <c r="C104" s="282"/>
      <c r="D104" s="148">
        <v>120077</v>
      </c>
      <c r="E104" s="241"/>
      <c r="F104" s="250">
        <f>IFERROR(VLOOKUP(D104,Calcs!B:F,5,FALSE),0)</f>
        <v>0</v>
      </c>
      <c r="G104" s="465" t="str">
        <f>IFERROR(VLOOKUP(D104,Calcs!B:M,11,FALSE),"")</f>
        <v/>
      </c>
      <c r="H104" s="561" t="str">
        <f>IFERROR(VLOOKUP(D104,Calcs!B:N,12,FALSE),"")</f>
        <v/>
      </c>
    </row>
    <row r="105" spans="2:8" ht="14.25" hidden="1" customHeight="1">
      <c r="B105" s="772" t="str">
        <f>IF(F104&gt;0.99,"Passthrough Freight Charge (Required)","")</f>
        <v/>
      </c>
      <c r="C105" s="282"/>
      <c r="D105" s="148" t="s">
        <v>628</v>
      </c>
      <c r="E105" s="241"/>
      <c r="F105" s="250">
        <f>IF(F104&gt;=1,1,0)</f>
        <v>0</v>
      </c>
      <c r="G105" s="465"/>
      <c r="H105" s="561" t="str">
        <f>IF(F105=1,"TBD","")</f>
        <v/>
      </c>
    </row>
    <row r="106" spans="2:8" ht="14.25" hidden="1" customHeight="1">
      <c r="B106" s="163" t="str">
        <f>IFERROR(VLOOKUP(D106,Calcs!B:G,3,FALSE),"")</f>
        <v/>
      </c>
      <c r="C106" s="282"/>
      <c r="D106" s="148">
        <v>1909</v>
      </c>
      <c r="E106" s="241"/>
      <c r="F106" s="250">
        <f>IFERROR(VLOOKUP(D106,Calcs!B:F,5,FALSE),0)</f>
        <v>0</v>
      </c>
      <c r="G106" s="465" t="str">
        <f>IFERROR(VLOOKUP(D106,Calcs!B:M,11,FALSE),"")</f>
        <v/>
      </c>
      <c r="H106" s="561" t="str">
        <f>IFERROR(VLOOKUP(D106,Calcs!B:N,12,FALSE),"")</f>
        <v/>
      </c>
    </row>
    <row r="107" spans="2:8" ht="14.25" hidden="1" customHeight="1">
      <c r="B107" s="772" t="str">
        <f>IF(F106&gt;0.99,"Passthrough Freight Charge (Required)","")</f>
        <v/>
      </c>
      <c r="C107" s="282"/>
      <c r="D107" s="148" t="s">
        <v>628</v>
      </c>
      <c r="E107" s="241"/>
      <c r="F107" s="250">
        <f>IF(F106&gt;=1,1,0)</f>
        <v>0</v>
      </c>
      <c r="G107" s="465"/>
      <c r="H107" s="561" t="str">
        <f>IF(F107=1,"TBD","")</f>
        <v/>
      </c>
    </row>
    <row r="108" spans="2:8" ht="14.25" hidden="1" customHeight="1">
      <c r="B108" s="163" t="str">
        <f>IFERROR(VLOOKUP(D108,Calcs!B:G,3,FALSE),"")</f>
        <v/>
      </c>
      <c r="C108" s="282"/>
      <c r="D108" s="148" t="s">
        <v>571</v>
      </c>
      <c r="E108" s="241"/>
      <c r="F108" s="250" t="str">
        <f>IFERROR(VLOOKUP(D108,Calcs!B:F,5,FALSE),"")</f>
        <v/>
      </c>
      <c r="G108" s="465" t="str">
        <f>IFERROR(VLOOKUP(D108,Calcs!B:M,11,FALSE),"")</f>
        <v/>
      </c>
      <c r="H108" s="265" t="str">
        <f>IFERROR(VLOOKUP(D108,Calcs!B:N,12,FALSE),"")</f>
        <v/>
      </c>
    </row>
    <row r="109" spans="2:8" ht="14.25" hidden="1" customHeight="1">
      <c r="B109" s="163" t="str">
        <f>IFERROR(VLOOKUP(D109,Calcs!B:G,3,FALSE),"")</f>
        <v/>
      </c>
      <c r="C109" s="282"/>
      <c r="D109" s="354" t="s">
        <v>1007</v>
      </c>
      <c r="E109" s="241" t="s">
        <v>994</v>
      </c>
      <c r="F109" s="250" t="str">
        <f>IFERROR(VLOOKUP(D109,Calcs!B:F,5,FALSE),"")</f>
        <v/>
      </c>
      <c r="G109" s="465" t="str">
        <f>IFERROR(VLOOKUP(D109,Calcs!B:M,11,FALSE),"")</f>
        <v/>
      </c>
      <c r="H109" s="265" t="str">
        <f>IFERROR(VLOOKUP(D109,Calcs!B:N,12,FALSE),"")</f>
        <v/>
      </c>
    </row>
    <row r="110" spans="2:8" ht="14.25" hidden="1" customHeight="1">
      <c r="B110" s="163" t="str">
        <f>IFERROR(VLOOKUP(D110,Calcs!B:G,3,FALSE),"")</f>
        <v/>
      </c>
      <c r="C110" s="282"/>
      <c r="D110" s="354" t="s">
        <v>604</v>
      </c>
      <c r="E110" s="241" t="s">
        <v>1008</v>
      </c>
      <c r="F110" s="250" t="str">
        <f>IFERROR(VLOOKUP(D110,Calcs!B:F,5,FALSE),"")</f>
        <v/>
      </c>
      <c r="G110" s="465" t="str">
        <f>IFERROR(VLOOKUP(D110,Calcs!B:M,11,FALSE),"")</f>
        <v/>
      </c>
      <c r="H110" s="265" t="str">
        <f>IFERROR(VLOOKUP(D110,Calcs!B:N,12,FALSE),"")</f>
        <v/>
      </c>
    </row>
    <row r="111" spans="2:8" ht="14.25" hidden="1" customHeight="1">
      <c r="B111" s="163" t="str">
        <f>IFERROR(VLOOKUP(D111,Calcs!B:G,3,FALSE),"")</f>
        <v/>
      </c>
      <c r="C111" s="282"/>
      <c r="D111" s="354" t="s">
        <v>607</v>
      </c>
      <c r="E111" s="241"/>
      <c r="F111" s="250" t="str">
        <f>IFERROR(VLOOKUP(D111,Calcs!B:F,5,FALSE),"")</f>
        <v/>
      </c>
      <c r="G111" s="465" t="str">
        <f>IFERROR(VLOOKUP(D111,Calcs!B:M,11,FALSE),"")</f>
        <v/>
      </c>
      <c r="H111" s="265" t="str">
        <f>IFERROR(VLOOKUP(D111,Calcs!B:N,12,FALSE),"")</f>
        <v/>
      </c>
    </row>
    <row r="112" spans="2:8" ht="14.25" hidden="1" customHeight="1">
      <c r="B112" s="151" t="str">
        <f>IFERROR(VLOOKUP(D112,Calcs!B:G,3,FALSE),"")</f>
        <v/>
      </c>
      <c r="C112" s="282"/>
      <c r="D112" s="354" t="s">
        <v>559</v>
      </c>
      <c r="E112" s="241"/>
      <c r="F112" s="250" t="str">
        <f>IFERROR(VLOOKUP(D112,Calcs!B:F,5,FALSE),"")</f>
        <v/>
      </c>
      <c r="G112" s="465" t="str">
        <f>IFERROR(VLOOKUP(D112,Calcs!B:M,11,FALSE),"")</f>
        <v/>
      </c>
      <c r="H112" s="265" t="str">
        <f>IFERROR(VLOOKUP(D112,Calcs!B:N,12,FALSE),"")</f>
        <v/>
      </c>
    </row>
    <row r="113" spans="2:8" ht="14.25" hidden="1" customHeight="1">
      <c r="B113" s="151" t="str">
        <f>IFERROR(VLOOKUP(D113,Calcs!B:G,3,FALSE),"")</f>
        <v/>
      </c>
      <c r="C113" s="282"/>
      <c r="D113" t="s">
        <v>585</v>
      </c>
      <c r="E113" s="241" t="s">
        <v>994</v>
      </c>
      <c r="F113" s="250" t="str">
        <f>IFERROR(VLOOKUP(D113,Calcs!B:F,5,FALSE),"")</f>
        <v/>
      </c>
      <c r="G113" s="465" t="str">
        <f>IFERROR(VLOOKUP(D113,Calcs!B:M,11,FALSE),"")</f>
        <v/>
      </c>
      <c r="H113" s="265" t="str">
        <f>IFERROR(VLOOKUP(D113,Calcs!B:N,12,FALSE),"")</f>
        <v/>
      </c>
    </row>
    <row r="114" spans="2:8" ht="14.25" hidden="1" customHeight="1">
      <c r="B114" s="151" t="str">
        <f>IFERROR(VLOOKUP(D114,Calcs!B:G,3,FALSE),"")</f>
        <v/>
      </c>
      <c r="C114" s="282"/>
      <c r="D114" t="s">
        <v>1009</v>
      </c>
      <c r="E114" s="241" t="s">
        <v>994</v>
      </c>
      <c r="F114" s="250" t="str">
        <f>IFERROR(VLOOKUP(D114,Calcs!B:F,5,FALSE),"")</f>
        <v/>
      </c>
      <c r="G114" s="465" t="str">
        <f>IFERROR(VLOOKUP(D114,Calcs!B:M,11,FALSE),"")</f>
        <v/>
      </c>
      <c r="H114" s="265" t="str">
        <f>IFERROR(VLOOKUP(D114,Calcs!B:N,12,FALSE),"")</f>
        <v/>
      </c>
    </row>
    <row r="115" spans="2:8" ht="14.25" hidden="1" customHeight="1">
      <c r="B115" s="151" t="str">
        <f>IFERROR(VLOOKUP(D115,Calcs!B:G,3,FALSE),"")</f>
        <v/>
      </c>
      <c r="C115" s="282"/>
      <c r="D115" t="s">
        <v>612</v>
      </c>
      <c r="E115" s="241"/>
      <c r="F115" s="250" t="str">
        <f>IFERROR(VLOOKUP(D115,Calcs!B:F,5,FALSE),"")</f>
        <v/>
      </c>
      <c r="G115" s="465" t="str">
        <f>IFERROR(VLOOKUP(D115,Calcs!B:M,11,FALSE),"")</f>
        <v/>
      </c>
      <c r="H115" s="265" t="str">
        <f>IFERROR(VLOOKUP(D115,Calcs!B:N,12,FALSE),"")</f>
        <v/>
      </c>
    </row>
    <row r="116" spans="2:8" ht="14.25" hidden="1" customHeight="1">
      <c r="B116" s="151" t="str">
        <f>IFERROR(VLOOKUP(D116,Calcs!B:G,3,FALSE),"")</f>
        <v/>
      </c>
      <c r="C116" s="282"/>
      <c r="D116" t="s">
        <v>622</v>
      </c>
      <c r="E116" s="241"/>
      <c r="F116" s="250" t="str">
        <f>IFERROR(VLOOKUP(D116,Calcs!B:F,5,FALSE),"")</f>
        <v/>
      </c>
      <c r="G116" s="465" t="str">
        <f>IFERROR(VLOOKUP(D116,Calcs!B:M,11,FALSE),"")</f>
        <v/>
      </c>
      <c r="H116" s="265" t="str">
        <f>IFERROR(VLOOKUP(D116,Calcs!B:N,12,FALSE),"")</f>
        <v/>
      </c>
    </row>
    <row r="117" spans="2:8" ht="14.25" hidden="1" customHeight="1">
      <c r="B117" s="151"/>
      <c r="C117" s="282"/>
      <c r="D117" t="s">
        <v>610</v>
      </c>
      <c r="E117" s="241"/>
      <c r="F117" s="250"/>
      <c r="G117" s="465"/>
      <c r="H117" s="265"/>
    </row>
    <row r="118" spans="2:8" ht="14.25" customHeight="1">
      <c r="B118" s="550" t="s">
        <v>1010</v>
      </c>
      <c r="C118" s="403"/>
      <c r="D118" s="74"/>
      <c r="E118" s="404"/>
      <c r="F118" s="392">
        <f>IF(SUM(F119:F122)&gt;=1,1,"")</f>
        <v>1</v>
      </c>
      <c r="G118" s="491"/>
      <c r="H118" s="492"/>
    </row>
    <row r="119" spans="2:8" ht="14.25" customHeight="1">
      <c r="B119" s="406" t="str">
        <f>IFERROR(VLOOKUP(D119,Calcs!B:G,3,FALSE),"")</f>
        <v>Auto Locking Carabiner Clips - 28KN (6172lbs) Heavy Duty Carabiner (4 Pack)</v>
      </c>
      <c r="C119" s="403"/>
      <c r="D119" s="74" t="s">
        <v>578</v>
      </c>
      <c r="E119" s="241" t="s">
        <v>994</v>
      </c>
      <c r="F119" s="391">
        <f>IFERROR(VLOOKUP(D119,Calcs!B:F,5,FALSE),0)</f>
        <v>2</v>
      </c>
      <c r="G119" s="465">
        <f>IFERROR(VLOOKUP(D119,Calcs!B:M,11,FALSE),"")</f>
        <v>52.88</v>
      </c>
      <c r="H119" s="265">
        <f>IFERROR(VLOOKUP(D119,Calcs!B:N,12,FALSE),"")</f>
        <v>105.76</v>
      </c>
    </row>
    <row r="120" spans="2:8" ht="14.25" hidden="1" customHeight="1">
      <c r="B120" s="406" t="str">
        <f>IFERROR(VLOOKUP(D120,Calcs!B:G,3,FALSE),"")</f>
        <v/>
      </c>
      <c r="C120" s="403"/>
      <c r="D120" s="74" t="s">
        <v>575</v>
      </c>
      <c r="E120" s="241" t="s">
        <v>994</v>
      </c>
      <c r="F120" s="391" t="str">
        <f>IFERROR(VLOOKUP(D120,Calcs!B:F,5,FALSE),"")</f>
        <v/>
      </c>
      <c r="G120" s="465" t="str">
        <f>IFERROR(VLOOKUP(D120,Calcs!B:M,11,FALSE),"")</f>
        <v/>
      </c>
      <c r="H120" s="265" t="str">
        <f>IFERROR(VLOOKUP(D120,Calcs!B:N,12,FALSE),"")</f>
        <v/>
      </c>
    </row>
    <row r="121" spans="2:8" ht="14.25" hidden="1" customHeight="1">
      <c r="B121" s="406" t="str">
        <f>IFERROR(VLOOKUP(D121,Calcs!B:G,3,FALSE),"")</f>
        <v/>
      </c>
      <c r="C121" s="403"/>
      <c r="D121" s="355" t="s">
        <v>587</v>
      </c>
      <c r="E121" s="241" t="s">
        <v>994</v>
      </c>
      <c r="F121" s="391" t="str">
        <f>IFERROR(VLOOKUP(D121,Calcs!B:F,5,FALSE),"")</f>
        <v/>
      </c>
      <c r="G121" s="465" t="str">
        <f>IFERROR(VLOOKUP(D121,Calcs!B:M,11,FALSE),"")</f>
        <v/>
      </c>
      <c r="H121" s="265" t="str">
        <f>IFERROR(VLOOKUP(D121,Calcs!B:N,12,FALSE),"")</f>
        <v/>
      </c>
    </row>
    <row r="122" spans="2:8" ht="14.25" hidden="1" customHeight="1">
      <c r="B122" s="406" t="str">
        <f>IFERROR(VLOOKUP(D122,Calcs!B:G,3,FALSE),"")</f>
        <v/>
      </c>
      <c r="C122" s="403"/>
      <c r="D122" s="797" t="s">
        <v>581</v>
      </c>
      <c r="E122" s="241" t="s">
        <v>1011</v>
      </c>
      <c r="F122" s="391">
        <f>IFERROR(VLOOKUP(D122,Calcs!B:F,5,FALSE),0)</f>
        <v>0</v>
      </c>
      <c r="G122" s="465" t="str">
        <f>IFERROR(VLOOKUP(D122,Calcs!B:M,11,FALSE),"")</f>
        <v/>
      </c>
      <c r="H122" s="265" t="str">
        <f>IFERROR(VLOOKUP(D122,Calcs!B:N,12,FALSE),"")</f>
        <v/>
      </c>
    </row>
    <row r="123" spans="2:8" ht="14.25" hidden="1" customHeight="1">
      <c r="B123" s="557" t="str">
        <f>IF(F122&gt;0.99,"Passthrough Freight Charge (Required)","")</f>
        <v/>
      </c>
      <c r="C123" s="282"/>
      <c r="D123" s="144" t="s">
        <v>628</v>
      </c>
      <c r="E123" s="241" t="s">
        <v>995</v>
      </c>
      <c r="F123" s="250" t="str">
        <f>IF(F122&gt;0.99,1,"")</f>
        <v/>
      </c>
      <c r="G123" s="465"/>
      <c r="H123" s="561" t="str">
        <f>IF(F123=1,14,"")</f>
        <v/>
      </c>
    </row>
    <row r="124" spans="2:8" ht="14.25" hidden="1" customHeight="1">
      <c r="B124" s="405" t="s">
        <v>1012</v>
      </c>
      <c r="C124" s="403"/>
      <c r="D124" s="355"/>
      <c r="E124" s="404"/>
      <c r="F124" s="392" t="str">
        <f>IF(F125=1,1,"")</f>
        <v/>
      </c>
      <c r="G124" s="465"/>
      <c r="H124" s="265"/>
    </row>
    <row r="125" spans="2:8" ht="14.25" hidden="1" customHeight="1">
      <c r="B125" s="406" t="str">
        <f>IFERROR(VLOOKUP(D125,Calcs!B:G,3,FALSE),"")</f>
        <v/>
      </c>
      <c r="C125" s="403"/>
      <c r="D125" s="354" t="s">
        <v>591</v>
      </c>
      <c r="E125" s="404"/>
      <c r="F125" s="391" t="str">
        <f>IFERROR(VLOOKUP(D125,Calcs!B:F,5,FALSE),"")</f>
        <v/>
      </c>
      <c r="G125" s="465" t="str">
        <f>IFERROR(VLOOKUP(D125,Calcs!B:M,11,FALSE),"")</f>
        <v/>
      </c>
      <c r="H125" s="265" t="str">
        <f>IFERROR(VLOOKUP(D125,Calcs!B:N,12,FALSE),"")</f>
        <v/>
      </c>
    </row>
    <row r="126" spans="2:8" ht="14.25" hidden="1" customHeight="1">
      <c r="B126" s="406" t="str">
        <f>IFERROR(VLOOKUP(D126,Calcs!B:G,3,FALSE),"")</f>
        <v/>
      </c>
      <c r="C126" s="403"/>
      <c r="D126" s="354" t="s">
        <v>454</v>
      </c>
      <c r="E126" s="404"/>
      <c r="F126" s="391" t="str">
        <f>IFERROR(VLOOKUP(D126,Calcs!B:F,5,FALSE),"")</f>
        <v/>
      </c>
      <c r="G126" s="465" t="str">
        <f>IFERROR(VLOOKUP(D126,Calcs!B:M,11,FALSE),"")</f>
        <v/>
      </c>
      <c r="H126" s="265" t="str">
        <f>IFERROR(VLOOKUP(D126,Calcs!B:N,12,FALSE),"")</f>
        <v/>
      </c>
    </row>
    <row r="127" spans="2:8" ht="14.25" hidden="1" customHeight="1">
      <c r="B127" s="406" t="str">
        <f>IFERROR(VLOOKUP(D127,Calcs!B:G,3,FALSE),"")</f>
        <v/>
      </c>
      <c r="C127" s="403"/>
      <c r="D127" s="354" t="s">
        <v>593</v>
      </c>
      <c r="E127" s="404"/>
      <c r="F127" s="391" t="str">
        <f>IFERROR(VLOOKUP(D127,Calcs!B:F,5,FALSE),"")</f>
        <v/>
      </c>
      <c r="G127" s="465" t="str">
        <f>IFERROR(VLOOKUP(D127,Calcs!B:M,11,FALSE),"")</f>
        <v/>
      </c>
      <c r="H127" s="265">
        <f>IFERROR(VLOOKUP(D127,Calcs!B:N,12,FALSE),0)</f>
        <v>0</v>
      </c>
    </row>
    <row r="128" spans="2:8" ht="14.25" hidden="1" customHeight="1">
      <c r="B128" s="406" t="str">
        <f>IFERROR(VLOOKUP(D128,Calcs!B:G,3,FALSE),"")</f>
        <v/>
      </c>
      <c r="C128" s="403"/>
      <c r="D128" s="466" t="s">
        <v>595</v>
      </c>
      <c r="E128" s="404"/>
      <c r="F128" s="391" t="str">
        <f>IFERROR(VLOOKUP(D128,Calcs!B:F,5,FALSE),"")</f>
        <v/>
      </c>
      <c r="G128" s="465" t="str">
        <f>IFERROR(VLOOKUP(D128,Calcs!B:M,11,FALSE),"")</f>
        <v/>
      </c>
      <c r="H128" s="265">
        <f>IFERROR(VLOOKUP(D128,Calcs!B:N,12,FALSE),0)</f>
        <v>0</v>
      </c>
    </row>
    <row r="129" spans="2:9" ht="14.25" hidden="1" customHeight="1">
      <c r="B129" s="406" t="str">
        <f>IFERROR(VLOOKUP(D129,Calcs!B:G,3,FALSE),"")</f>
        <v/>
      </c>
      <c r="C129" s="403"/>
      <c r="D129" s="354" t="s">
        <v>597</v>
      </c>
      <c r="E129" s="404"/>
      <c r="F129" s="391" t="str">
        <f>IFERROR(VLOOKUP(D129,Calcs!B:F,5,FALSE),"")</f>
        <v/>
      </c>
      <c r="G129" s="465" t="str">
        <f>IFERROR(VLOOKUP(D129,Calcs!B:M,11,FALSE),"")</f>
        <v/>
      </c>
      <c r="H129" s="265" t="str">
        <f>IFERROR(VLOOKUP(D129,Calcs!B:N,12,FALSE),"")</f>
        <v/>
      </c>
    </row>
    <row r="130" spans="2:9" ht="14.25" hidden="1" customHeight="1">
      <c r="B130" s="406"/>
      <c r="C130" s="403"/>
      <c r="D130" s="354"/>
      <c r="E130" s="404"/>
      <c r="F130" s="391"/>
      <c r="G130" s="465"/>
      <c r="H130" s="265"/>
    </row>
    <row r="131" spans="2:9" ht="14.25" customHeight="1">
      <c r="B131" s="393" t="s">
        <v>405</v>
      </c>
      <c r="C131" s="394"/>
      <c r="D131" s="394"/>
      <c r="E131" s="395"/>
      <c r="F131" s="392" t="s">
        <v>978</v>
      </c>
      <c r="G131" s="244"/>
      <c r="H131" s="253">
        <f>SUM(H70:H129)</f>
        <v>2548.36</v>
      </c>
    </row>
    <row r="132" spans="2:9" ht="14.25" customHeight="1">
      <c r="B132" s="393"/>
      <c r="C132" s="394"/>
      <c r="D132" s="394"/>
      <c r="E132" s="395"/>
      <c r="F132" s="392" t="s">
        <v>979</v>
      </c>
      <c r="G132" s="244"/>
      <c r="H132" s="267"/>
    </row>
    <row r="133" spans="2:9" ht="14.25" customHeight="1" thickBot="1">
      <c r="B133" s="549" t="s">
        <v>1013</v>
      </c>
      <c r="C133" s="402"/>
      <c r="D133" s="407"/>
      <c r="E133" s="408"/>
      <c r="F133" s="409" t="s">
        <v>976</v>
      </c>
      <c r="G133" s="248"/>
      <c r="H133" s="268"/>
      <c r="I133" s="131"/>
    </row>
    <row r="134" spans="2:9" ht="14.25" hidden="1" customHeight="1">
      <c r="B134" s="388" t="s">
        <v>981</v>
      </c>
      <c r="C134" s="410"/>
      <c r="D134" s="394"/>
      <c r="E134" s="395"/>
      <c r="F134" s="392" t="s">
        <v>1014</v>
      </c>
      <c r="G134" s="244"/>
      <c r="H134" s="267"/>
    </row>
    <row r="135" spans="2:9" ht="14.25" hidden="1" customHeight="1">
      <c r="B135" s="35" t="str">
        <f>IFERROR(VLOOKUP(D135,Calcs!B:D,3,FALSE),"")</f>
        <v/>
      </c>
      <c r="C135" s="159"/>
      <c r="D135" s="23" t="s">
        <v>503</v>
      </c>
      <c r="E135" s="240"/>
      <c r="F135" s="250" t="str">
        <f>IFERROR(VLOOKUP(D135,Calcs!B:F,5,FALSE),"")</f>
        <v/>
      </c>
      <c r="G135" s="243" t="str">
        <f>IFERROR(VLOOKUP(D135,Calcs!B:M,11,FALSE),"")</f>
        <v/>
      </c>
      <c r="H135" s="265" t="str">
        <f>IFERROR(VLOOKUP(D135,Calcs!B:N,12,FALSE),"")</f>
        <v/>
      </c>
    </row>
    <row r="136" spans="2:9" ht="14.25" customHeight="1">
      <c r="B136" s="169" t="s">
        <v>1015</v>
      </c>
      <c r="C136" s="159"/>
      <c r="D136" s="23"/>
      <c r="E136" s="240"/>
      <c r="F136" s="559">
        <f>IF(SUM(F137:F139)&gt;=1,1,"")</f>
        <v>1</v>
      </c>
      <c r="G136" s="243"/>
      <c r="H136" s="265"/>
    </row>
    <row r="137" spans="2:9" ht="14.25" customHeight="1">
      <c r="B137" s="406" t="str">
        <f>IFERROR(VLOOKUP(D137,Calcs!B:D,3,FALSE),"")</f>
        <v>Adventure Complete Column Wrap (67" x 4.875" x 3.5" x 1.375" )</v>
      </c>
      <c r="C137" s="403" t="s">
        <v>993</v>
      </c>
      <c r="D137" t="s">
        <v>447</v>
      </c>
      <c r="E137" s="395"/>
      <c r="F137" s="391">
        <f>IFERROR(VLOOKUP(D137,Calcs!B:F,5,FALSE),"")</f>
        <v>2</v>
      </c>
      <c r="G137" s="243">
        <f>IFERROR(VLOOKUP(D137,Calcs!B:M,11,FALSE),"")</f>
        <v>221.13</v>
      </c>
      <c r="H137" s="265">
        <f>IFERROR(VLOOKUP(D137,Calcs!B:N,12,FALSE),"")</f>
        <v>442.26</v>
      </c>
    </row>
    <row r="138" spans="2:9" ht="14.25" customHeight="1">
      <c r="B138" s="406" t="str">
        <f>IFERROR(VLOOKUP(D138,Calcs!B:D,3,FALSE),"")</f>
        <v>Adventure U Shaped Safety Column Wrap (67" x 3.5" x 4.875" x 3.5" x 1.375" )</v>
      </c>
      <c r="C138" s="403" t="s">
        <v>993</v>
      </c>
      <c r="D138" t="s">
        <v>450</v>
      </c>
      <c r="E138" s="395"/>
      <c r="F138" s="391">
        <f>IFERROR(VLOOKUP(D138,Calcs!B:F,5,FALSE),"")</f>
        <v>2</v>
      </c>
      <c r="G138" s="243">
        <f>IFERROR(VLOOKUP(D138,Calcs!B:M,11,FALSE),"")</f>
        <v>236.38</v>
      </c>
      <c r="H138" s="265">
        <f>IFERROR(VLOOKUP(D138,Calcs!B:N,12,FALSE),"")</f>
        <v>472.76</v>
      </c>
    </row>
    <row r="139" spans="2:9" ht="14.25" customHeight="1">
      <c r="B139" s="406" t="str">
        <f>IFERROR(VLOOKUP(D139,Calcs!B:D,3,FALSE),"")</f>
        <v>Adventure U Shaped Column Wrap Ladder Leg (72" x 2" x 3.875" x 2" x 1.375" )</v>
      </c>
      <c r="C139" s="403" t="s">
        <v>993</v>
      </c>
      <c r="D139" t="s">
        <v>452</v>
      </c>
      <c r="E139" s="395"/>
      <c r="F139" s="391">
        <f>IFERROR(VLOOKUP(D139,Calcs!B:F,5,FALSE),"")</f>
        <v>2</v>
      </c>
      <c r="G139" s="243">
        <f>IFERROR(VLOOKUP(D139,Calcs!B:M,11,FALSE),"")</f>
        <v>201.3</v>
      </c>
      <c r="H139" s="265">
        <f>IFERROR(VLOOKUP(D139,Calcs!B:N,12,FALSE),"")</f>
        <v>402.6</v>
      </c>
    </row>
    <row r="140" spans="2:9" ht="14.25" hidden="1" customHeight="1">
      <c r="B140" s="406" t="str">
        <f>IFERROR(VLOOKUP(D140,Calcs!B:D,3,FALSE),"")</f>
        <v/>
      </c>
      <c r="C140" s="282" t="s">
        <v>993</v>
      </c>
      <c r="D140" t="s">
        <v>1016</v>
      </c>
      <c r="E140" s="240"/>
      <c r="F140" s="391" t="str">
        <f>IFERROR(VLOOKUP(D140,Calcs!B:F,5,FALSE),"")</f>
        <v/>
      </c>
      <c r="G140" s="243" t="str">
        <f>IFERROR(VLOOKUP(D140,Calcs!B:M,11,FALSE),"")</f>
        <v/>
      </c>
      <c r="H140" s="265" t="str">
        <f>IFERROR(VLOOKUP(D140,Calcs!B:N,12,FALSE),"")</f>
        <v/>
      </c>
    </row>
    <row r="141" spans="2:9" ht="14.25" hidden="1" customHeight="1">
      <c r="B141" s="406" t="str">
        <f>IFERROR(VLOOKUP(D141,Calcs!B:D,3,FALSE),"")</f>
        <v/>
      </c>
      <c r="C141" s="282"/>
      <c r="D141" s="144" t="s">
        <v>1017</v>
      </c>
      <c r="E141" s="240"/>
      <c r="F141" s="391" t="str">
        <f>IFERROR(VLOOKUP(D141,Calcs!B:F,5,FALSE),"")</f>
        <v/>
      </c>
      <c r="G141" s="243" t="str">
        <f>IFERROR(VLOOKUP(D141,Calcs!B:M,11,FALSE),"")</f>
        <v/>
      </c>
      <c r="H141" s="265" t="str">
        <f>IFERROR(VLOOKUP(D141,Calcs!B:N,12,FALSE),"")</f>
        <v/>
      </c>
    </row>
    <row r="142" spans="2:9" ht="14.25" hidden="1" customHeight="1">
      <c r="B142" s="406" t="str">
        <f>IFERROR(VLOOKUP(D142,Calcs!B:D,3,FALSE),"")</f>
        <v/>
      </c>
      <c r="C142" s="282"/>
      <c r="D142" s="144" t="s">
        <v>1018</v>
      </c>
      <c r="E142" s="240"/>
      <c r="F142" s="391" t="str">
        <f>IFERROR(VLOOKUP(D142,Calcs!B:F,5,FALSE),"")</f>
        <v/>
      </c>
      <c r="G142" s="243" t="str">
        <f>IFERROR(VLOOKUP(D142,Calcs!B:M,11,FALSE),"")</f>
        <v/>
      </c>
      <c r="H142" s="265" t="str">
        <f>IFERROR(VLOOKUP(D142,Calcs!B:N,12,FALSE),"")</f>
        <v/>
      </c>
    </row>
    <row r="143" spans="2:9" ht="14.25" hidden="1" customHeight="1">
      <c r="B143" s="406" t="str">
        <f>IFERROR(VLOOKUP(D143,Calcs!B:D,3,FALSE),"")</f>
        <v/>
      </c>
      <c r="C143" s="282"/>
      <c r="D143" s="144" t="s">
        <v>1019</v>
      </c>
      <c r="E143" s="240"/>
      <c r="F143" s="391" t="str">
        <f>IFERROR(VLOOKUP(D143,Calcs!B:F,5,FALSE),"")</f>
        <v/>
      </c>
      <c r="G143" s="243" t="str">
        <f>IFERROR(VLOOKUP(D143,Calcs!B:M,11,FALSE),"")</f>
        <v/>
      </c>
      <c r="H143" s="265" t="str">
        <f>IFERROR(VLOOKUP(D143,Calcs!B:N,12,FALSE),"")</f>
        <v/>
      </c>
    </row>
    <row r="144" spans="2:9" ht="14.25" hidden="1" customHeight="1">
      <c r="B144" s="406" t="str">
        <f>IFERROR(VLOOKUP(D144,Calcs!B:D,3,FALSE),"")</f>
        <v/>
      </c>
      <c r="C144" s="282"/>
      <c r="D144" s="144" t="s">
        <v>1020</v>
      </c>
      <c r="E144" s="240"/>
      <c r="F144" s="391" t="str">
        <f>IFERROR(VLOOKUP(D144,Calcs!B:F,5,FALSE),"")</f>
        <v/>
      </c>
      <c r="G144" s="243" t="str">
        <f>IFERROR(VLOOKUP(D144,Calcs!B:M,11,FALSE),"")</f>
        <v/>
      </c>
      <c r="H144" s="265" t="str">
        <f>IFERROR(VLOOKUP(D144,Calcs!B:N,12,FALSE),"")</f>
        <v/>
      </c>
    </row>
    <row r="145" spans="2:8" ht="14.25" hidden="1" customHeight="1">
      <c r="B145" s="406" t="str">
        <f>IFERROR(VLOOKUP(D145,Calcs!B:D,3,FALSE),"")</f>
        <v/>
      </c>
      <c r="C145" s="282"/>
      <c r="D145" s="144" t="s">
        <v>1021</v>
      </c>
      <c r="E145" s="240"/>
      <c r="F145" s="391" t="str">
        <f>IFERROR(VLOOKUP(D145,Calcs!B:F,5,FALSE),"")</f>
        <v/>
      </c>
      <c r="G145" s="243" t="str">
        <f>IFERROR(VLOOKUP(D145,Calcs!B:M,11,FALSE),"")</f>
        <v/>
      </c>
      <c r="H145" s="265" t="str">
        <f>IFERROR(VLOOKUP(D145,Calcs!B:N,12,FALSE),"")</f>
        <v/>
      </c>
    </row>
    <row r="146" spans="2:8" ht="14.25" customHeight="1">
      <c r="B146" s="406" t="str">
        <f>IFERROR(VLOOKUP(D146,Calcs!B:D,3,FALSE),"")</f>
        <v>Adventure Floor Mat System (10' x 10' x 3.25")</v>
      </c>
      <c r="C146" s="282"/>
      <c r="D146" s="144" t="s">
        <v>322</v>
      </c>
      <c r="E146" s="240"/>
      <c r="F146" s="391">
        <f>IFERROR(VLOOKUP(D146,Calcs!B:F,5,FALSE),"")</f>
        <v>1</v>
      </c>
      <c r="G146" s="243">
        <f>IFERROR(VLOOKUP(D146,Calcs!B:M,11,FALSE),"")</f>
        <v>2056.46</v>
      </c>
      <c r="H146" s="265">
        <f>IFERROR(VLOOKUP(D146,Calcs!B:N,12,FALSE),"")</f>
        <v>2056.46</v>
      </c>
    </row>
    <row r="147" spans="2:8" ht="14.25" hidden="1" customHeight="1">
      <c r="B147" s="406" t="str">
        <f>IFERROR(VLOOKUP(D147,Calcs!B:D,3,FALSE),"")</f>
        <v/>
      </c>
      <c r="C147" s="282"/>
      <c r="D147" s="144" t="s">
        <v>310</v>
      </c>
      <c r="E147" s="240"/>
      <c r="F147" s="391" t="str">
        <f>IFERROR(VLOOKUP(D147,Calcs!B:F,5,FALSE),"")</f>
        <v/>
      </c>
      <c r="G147" s="243" t="str">
        <f>IFERROR(VLOOKUP(D147,Calcs!B:M,11,FALSE),"")</f>
        <v/>
      </c>
      <c r="H147" s="265" t="str">
        <f>IFERROR(VLOOKUP(D147,Calcs!B:N,12,FALSE),"")</f>
        <v/>
      </c>
    </row>
    <row r="148" spans="2:8" ht="14.25" hidden="1" customHeight="1">
      <c r="B148" s="406" t="str">
        <f>IFERROR(VLOOKUP(D148,Calcs!B:D,3,FALSE),"")</f>
        <v/>
      </c>
      <c r="C148" s="282"/>
      <c r="D148" s="144" t="s">
        <v>308</v>
      </c>
      <c r="E148" s="240"/>
      <c r="F148" s="391" t="str">
        <f>IFERROR(VLOOKUP(D148,Calcs!B:F,5,FALSE),"")</f>
        <v/>
      </c>
      <c r="G148" s="243" t="str">
        <f>IFERROR(VLOOKUP(D148,Calcs!B:M,11,FALSE),"")</f>
        <v/>
      </c>
      <c r="H148" s="265" t="str">
        <f>IFERROR(VLOOKUP(D148,Calcs!B:N,12,FALSE),"")</f>
        <v/>
      </c>
    </row>
    <row r="149" spans="2:8" ht="14.25" hidden="1" customHeight="1">
      <c r="B149" s="406" t="str">
        <f>IFERROR(VLOOKUP(D149,Calcs!B:D,3,FALSE),"")</f>
        <v/>
      </c>
      <c r="C149" s="282"/>
      <c r="D149" s="144" t="s">
        <v>307</v>
      </c>
      <c r="E149" s="240"/>
      <c r="F149" s="391" t="str">
        <f>IFERROR(VLOOKUP(D149,Calcs!B:F,5,FALSE),"")</f>
        <v/>
      </c>
      <c r="G149" s="243" t="str">
        <f>IFERROR(VLOOKUP(D149,Calcs!B:M,11,FALSE),"")</f>
        <v/>
      </c>
      <c r="H149" s="265" t="str">
        <f>IFERROR(VLOOKUP(D149,Calcs!B:N,12,FALSE),"")</f>
        <v/>
      </c>
    </row>
    <row r="150" spans="2:8" ht="14.25" hidden="1" customHeight="1">
      <c r="B150" s="406" t="str">
        <f>IFERROR(VLOOKUP(D150,Calcs!B:D,3,FALSE),"")</f>
        <v/>
      </c>
      <c r="C150" s="282"/>
      <c r="D150" s="144" t="s">
        <v>305</v>
      </c>
      <c r="E150" s="240"/>
      <c r="F150" s="391" t="str">
        <f>IFERROR(VLOOKUP(D150,Calcs!B:F,5,FALSE),"")</f>
        <v/>
      </c>
      <c r="G150" s="243" t="str">
        <f>IFERROR(VLOOKUP(D150,Calcs!B:M,11,FALSE),"")</f>
        <v/>
      </c>
      <c r="H150" s="265" t="str">
        <f>IFERROR(VLOOKUP(D150,Calcs!B:N,12,FALSE),"")</f>
        <v/>
      </c>
    </row>
    <row r="151" spans="2:8" ht="14.25" hidden="1" customHeight="1">
      <c r="B151" s="406" t="str">
        <f>IFERROR(VLOOKUP(D151,Calcs!B:D,3,FALSE),"")</f>
        <v/>
      </c>
      <c r="C151" s="282"/>
      <c r="D151" s="144" t="s">
        <v>316</v>
      </c>
      <c r="E151" s="240"/>
      <c r="F151" s="391" t="str">
        <f>IFERROR(VLOOKUP(D151,Calcs!B:F,5,FALSE),"")</f>
        <v/>
      </c>
      <c r="G151" s="243" t="str">
        <f>IFERROR(VLOOKUP(D151,Calcs!B:M,11,FALSE),"")</f>
        <v/>
      </c>
      <c r="H151" s="265" t="str">
        <f>IFERROR(VLOOKUP(D151,Calcs!B:N,12,FALSE),"")</f>
        <v/>
      </c>
    </row>
    <row r="152" spans="2:8" ht="14.25" hidden="1" customHeight="1">
      <c r="B152" s="406" t="str">
        <f>IFERROR(VLOOKUP(D152,Calcs!B:D,3,FALSE),"")</f>
        <v/>
      </c>
      <c r="C152" s="282"/>
      <c r="D152" s="144" t="s">
        <v>315</v>
      </c>
      <c r="E152" s="240"/>
      <c r="F152" s="391" t="str">
        <f>IFERROR(VLOOKUP(D152,Calcs!B:F,5,FALSE),"")</f>
        <v/>
      </c>
      <c r="G152" s="243" t="str">
        <f>IFERROR(VLOOKUP(D152,Calcs!B:M,11,FALSE),"")</f>
        <v/>
      </c>
      <c r="H152" s="265" t="str">
        <f>IFERROR(VLOOKUP(D152,Calcs!B:N,12,FALSE),"")</f>
        <v/>
      </c>
    </row>
    <row r="153" spans="2:8" ht="14.25" hidden="1" customHeight="1">
      <c r="B153" s="406" t="str">
        <f>IFERROR(VLOOKUP(D153,Calcs!B:D,3,FALSE),"")</f>
        <v/>
      </c>
      <c r="C153" s="282"/>
      <c r="D153" s="144" t="s">
        <v>312</v>
      </c>
      <c r="E153" s="240"/>
      <c r="F153" s="391" t="str">
        <f>IFERROR(VLOOKUP(D153,Calcs!B:F,5,FALSE),"")</f>
        <v/>
      </c>
      <c r="G153" s="243" t="str">
        <f>IFERROR(VLOOKUP(D153,Calcs!B:M,11,FALSE),"")</f>
        <v/>
      </c>
      <c r="H153" s="265" t="str">
        <f>IFERROR(VLOOKUP(D153,Calcs!B:N,12,FALSE),"")</f>
        <v/>
      </c>
    </row>
    <row r="154" spans="2:8" ht="14.25" hidden="1" customHeight="1">
      <c r="B154" s="406" t="str">
        <f>IFERROR(VLOOKUP(D154,Calcs!B:D,3,FALSE),"")</f>
        <v/>
      </c>
      <c r="C154" s="282"/>
      <c r="D154" t="s">
        <v>314</v>
      </c>
      <c r="E154" s="240"/>
      <c r="F154" s="391" t="str">
        <f>IFERROR(VLOOKUP(D154,Calcs!B:F,5,FALSE),"")</f>
        <v/>
      </c>
      <c r="G154" s="243" t="str">
        <f>IFERROR(VLOOKUP(D154,Calcs!B:M,11,FALSE),"")</f>
        <v/>
      </c>
      <c r="H154" s="265" t="str">
        <f>IFERROR(VLOOKUP(D154,Calcs!B:N,12,FALSE),"")</f>
        <v/>
      </c>
    </row>
    <row r="155" spans="2:8" ht="14.25" hidden="1" customHeight="1">
      <c r="B155" s="406" t="str">
        <f>IFERROR(VLOOKUP(D155,Calcs!B:D,3,FALSE),"")</f>
        <v/>
      </c>
      <c r="C155" s="282"/>
      <c r="D155" s="144" t="s">
        <v>472</v>
      </c>
      <c r="E155" s="240"/>
      <c r="F155" s="391" t="str">
        <f>IFERROR(VLOOKUP(D155,Calcs!B:F,5,FALSE),"")</f>
        <v/>
      </c>
      <c r="G155" s="243" t="str">
        <f>IFERROR(VLOOKUP(D155,Calcs!B:M,11,FALSE),"")</f>
        <v/>
      </c>
      <c r="H155" s="265" t="str">
        <f>IFERROR(VLOOKUP(D155,Calcs!B:N,12,FALSE),"")</f>
        <v/>
      </c>
    </row>
    <row r="156" spans="2:8" ht="14.25" hidden="1" customHeight="1">
      <c r="B156" s="406" t="str">
        <f>IFERROR(VLOOKUP(D156,Calcs!B:D,3,FALSE),"")</f>
        <v/>
      </c>
      <c r="C156" s="282"/>
      <c r="D156" s="144" t="s">
        <v>474</v>
      </c>
      <c r="E156" s="240"/>
      <c r="F156" s="391" t="str">
        <f>IFERROR(VLOOKUP(D156,Calcs!B:F,5,FALSE),"")</f>
        <v/>
      </c>
      <c r="G156" s="243" t="str">
        <f>IFERROR(VLOOKUP(D156,Calcs!B:M,11,FALSE),"")</f>
        <v/>
      </c>
      <c r="H156" s="265" t="str">
        <f>IFERROR(VLOOKUP(D156,Calcs!B:N,12,FALSE),"")</f>
        <v/>
      </c>
    </row>
    <row r="157" spans="2:8" ht="14.25" hidden="1" customHeight="1">
      <c r="B157" s="406" t="str">
        <f>IFERROR(VLOOKUP(D157,Calcs!B:D,3,FALSE),"")</f>
        <v/>
      </c>
      <c r="C157" s="282"/>
      <c r="D157" s="144" t="s">
        <v>476</v>
      </c>
      <c r="E157" s="240"/>
      <c r="F157" s="391" t="str">
        <f>IFERROR(VLOOKUP(D157,Calcs!B:F,5,FALSE),"")</f>
        <v/>
      </c>
      <c r="G157" s="243" t="str">
        <f>IFERROR(VLOOKUP(D157,Calcs!B:M,11,FALSE),"")</f>
        <v/>
      </c>
      <c r="H157" s="265" t="str">
        <f>IFERROR(VLOOKUP(D157,Calcs!B:N,12,FALSE),"")</f>
        <v/>
      </c>
    </row>
    <row r="158" spans="2:8" ht="14.25" hidden="1" customHeight="1">
      <c r="B158" s="406" t="str">
        <f>IFERROR(VLOOKUP(D158,Calcs!B:D,3,FALSE),"")</f>
        <v/>
      </c>
      <c r="C158" s="282"/>
      <c r="D158" s="144" t="s">
        <v>478</v>
      </c>
      <c r="E158" s="240"/>
      <c r="F158" s="391" t="str">
        <f>IFERROR(VLOOKUP(D158,Calcs!B:F,5,FALSE),"")</f>
        <v/>
      </c>
      <c r="G158" s="243" t="str">
        <f>IFERROR(VLOOKUP(D158,Calcs!B:M,11,FALSE),"")</f>
        <v/>
      </c>
      <c r="H158" s="265" t="str">
        <f>IFERROR(VLOOKUP(D158,Calcs!B:N,12,FALSE),"")</f>
        <v/>
      </c>
    </row>
    <row r="159" spans="2:8" ht="14.25" hidden="1" customHeight="1">
      <c r="B159" s="406" t="str">
        <f>IFERROR(VLOOKUP(D159,Calcs!B:D,3,FALSE),"")</f>
        <v/>
      </c>
      <c r="C159" s="282"/>
      <c r="D159" s="144" t="s">
        <v>480</v>
      </c>
      <c r="E159" s="240"/>
      <c r="F159" s="391" t="str">
        <f>IFERROR(VLOOKUP(D159,Calcs!B:F,5,FALSE),"")</f>
        <v/>
      </c>
      <c r="G159" s="243" t="str">
        <f>IFERROR(VLOOKUP(D159,Calcs!B:M,11,FALSE),"")</f>
        <v/>
      </c>
      <c r="H159" s="265" t="str">
        <f>IFERROR(VLOOKUP(D159,Calcs!B:N,12,FALSE),"")</f>
        <v/>
      </c>
    </row>
    <row r="160" spans="2:8" ht="14.25" hidden="1" customHeight="1">
      <c r="B160" s="406" t="str">
        <f>IFERROR(VLOOKUP(D160,Calcs!B:D,3,FALSE),"")</f>
        <v/>
      </c>
      <c r="C160" s="282"/>
      <c r="D160" s="144" t="s">
        <v>482</v>
      </c>
      <c r="E160" s="240"/>
      <c r="F160" s="391" t="str">
        <f>IFERROR(VLOOKUP(D160,Calcs!B:F,5,FALSE),"")</f>
        <v/>
      </c>
      <c r="G160" s="243" t="str">
        <f>IFERROR(VLOOKUP(D160,Calcs!B:M,11,FALSE),"")</f>
        <v/>
      </c>
      <c r="H160" s="265" t="str">
        <f>IFERROR(VLOOKUP(D160,Calcs!B:N,12,FALSE),"")</f>
        <v/>
      </c>
    </row>
    <row r="161" spans="2:8" ht="14.25" hidden="1" customHeight="1">
      <c r="B161" s="406" t="str">
        <f>IFERROR(VLOOKUP(D161,Calcs!B:D,3,FALSE),"")</f>
        <v/>
      </c>
      <c r="C161" s="282"/>
      <c r="D161" s="144" t="s">
        <v>484</v>
      </c>
      <c r="E161" s="240"/>
      <c r="F161" s="391" t="str">
        <f>IFERROR(VLOOKUP(D161,Calcs!B:F,5,FALSE),"")</f>
        <v/>
      </c>
      <c r="G161" s="243" t="str">
        <f>IFERROR(VLOOKUP(D161,Calcs!B:M,11,FALSE),"")</f>
        <v/>
      </c>
      <c r="H161" s="265" t="str">
        <f>IFERROR(VLOOKUP(D161,Calcs!B:N,12,FALSE),"")</f>
        <v/>
      </c>
    </row>
    <row r="162" spans="2:8" ht="14.25" hidden="1" customHeight="1">
      <c r="B162" s="406" t="str">
        <f>IFERROR(VLOOKUP(D162,Calcs!B:D,3,FALSE),"")</f>
        <v/>
      </c>
      <c r="C162" s="282"/>
      <c r="D162" s="144" t="s">
        <v>486</v>
      </c>
      <c r="E162" s="240"/>
      <c r="F162" s="391" t="str">
        <f>IFERROR(VLOOKUP(D162,Calcs!B:F,5,FALSE),"")</f>
        <v/>
      </c>
      <c r="G162" s="243" t="str">
        <f>IFERROR(VLOOKUP(D162,Calcs!B:M,11,FALSE),"")</f>
        <v/>
      </c>
      <c r="H162" s="265" t="str">
        <f>IFERROR(VLOOKUP(D162,Calcs!B:N,12,FALSE),"")</f>
        <v/>
      </c>
    </row>
    <row r="163" spans="2:8" ht="14.25" hidden="1" customHeight="1">
      <c r="B163" s="406" t="str">
        <f>IFERROR(VLOOKUP(D163,Calcs!B:D,3,FALSE),"")</f>
        <v/>
      </c>
      <c r="C163" s="282"/>
      <c r="D163" s="144" t="s">
        <v>488</v>
      </c>
      <c r="E163" s="240"/>
      <c r="F163" s="391" t="str">
        <f>IFERROR(VLOOKUP(D163,Calcs!B:F,5,FALSE),"")</f>
        <v/>
      </c>
      <c r="G163" s="243" t="str">
        <f>IFERROR(VLOOKUP(D163,Calcs!B:M,11,FALSE),"")</f>
        <v/>
      </c>
      <c r="H163" s="265" t="str">
        <f>IFERROR(VLOOKUP(D163,Calcs!B:N,12,FALSE),"")</f>
        <v/>
      </c>
    </row>
    <row r="164" spans="2:8" ht="14.25" hidden="1" customHeight="1">
      <c r="B164" s="406" t="str">
        <f>IFERROR(VLOOKUP(D164,Calcs!B:D,3,FALSE),"")</f>
        <v/>
      </c>
      <c r="C164" s="282"/>
      <c r="D164" s="144" t="s">
        <v>490</v>
      </c>
      <c r="E164" s="240"/>
      <c r="F164" s="391" t="str">
        <f>IFERROR(VLOOKUP(D164,Calcs!B:F,5,FALSE),"")</f>
        <v/>
      </c>
      <c r="G164" s="243" t="str">
        <f>IFERROR(VLOOKUP(D164,Calcs!B:M,11,FALSE),"")</f>
        <v/>
      </c>
      <c r="H164" s="265" t="str">
        <f>IFERROR(VLOOKUP(D164,Calcs!B:N,12,FALSE),"")</f>
        <v/>
      </c>
    </row>
    <row r="165" spans="2:8" ht="14.25" hidden="1" customHeight="1">
      <c r="B165" s="406" t="str">
        <f>IFERROR(VLOOKUP(D165,Calcs!B:D,3,FALSE),"")</f>
        <v/>
      </c>
      <c r="C165" s="282"/>
      <c r="D165" s="144" t="s">
        <v>492</v>
      </c>
      <c r="E165" s="240"/>
      <c r="F165" s="391" t="str">
        <f>IFERROR(VLOOKUP(D165,Calcs!B:F,5,FALSE),"")</f>
        <v/>
      </c>
      <c r="G165" s="243" t="str">
        <f>IFERROR(VLOOKUP(D165,Calcs!B:M,11,FALSE),"")</f>
        <v/>
      </c>
      <c r="H165" s="265" t="str">
        <f>IFERROR(VLOOKUP(D165,Calcs!B:N,12,FALSE),"")</f>
        <v/>
      </c>
    </row>
    <row r="166" spans="2:8" ht="14.25" hidden="1" customHeight="1">
      <c r="B166" s="406" t="str">
        <f>IFERROR(VLOOKUP(D166,Calcs!B:D,3,FALSE),"")</f>
        <v/>
      </c>
      <c r="C166" s="282"/>
      <c r="D166" s="144" t="s">
        <v>494</v>
      </c>
      <c r="E166" s="240"/>
      <c r="F166" s="391" t="str">
        <f>IFERROR(VLOOKUP(D166,Calcs!B:F,5,FALSE),"")</f>
        <v/>
      </c>
      <c r="G166" s="243" t="str">
        <f>IFERROR(VLOOKUP(D166,Calcs!B:M,11,FALSE),"")</f>
        <v/>
      </c>
      <c r="H166" s="265" t="str">
        <f>IFERROR(VLOOKUP(D166,Calcs!B:N,12,FALSE),"")</f>
        <v/>
      </c>
    </row>
    <row r="167" spans="2:8" ht="14.25" hidden="1" customHeight="1">
      <c r="B167" s="406" t="str">
        <f>IFERROR(VLOOKUP(D167,Calcs!B:D,3,FALSE),"")</f>
        <v/>
      </c>
      <c r="C167" s="282"/>
      <c r="D167" s="144" t="s">
        <v>496</v>
      </c>
      <c r="E167" s="240"/>
      <c r="F167" s="391" t="str">
        <f>IFERROR(VLOOKUP(D167,Calcs!B:F,5,FALSE),"")</f>
        <v/>
      </c>
      <c r="G167" s="243" t="str">
        <f>IFERROR(VLOOKUP(D167,Calcs!B:M,11,FALSE),"")</f>
        <v/>
      </c>
      <c r="H167" s="265" t="str">
        <f>IFERROR(VLOOKUP(D167,Calcs!B:N,12,FALSE),"")</f>
        <v/>
      </c>
    </row>
    <row r="168" spans="2:8" ht="14.25" hidden="1" customHeight="1">
      <c r="B168" s="406" t="str">
        <f>IFERROR(VLOOKUP(D168,Calcs!B:D,3,FALSE),"")</f>
        <v/>
      </c>
      <c r="C168" s="282"/>
      <c r="D168" s="144" t="s">
        <v>498</v>
      </c>
      <c r="E168" s="240"/>
      <c r="F168" s="391" t="str">
        <f>IFERROR(VLOOKUP(D168,Calcs!B:F,5,FALSE),"")</f>
        <v/>
      </c>
      <c r="G168" s="243" t="str">
        <f>IFERROR(VLOOKUP(D168,Calcs!B:M,11,FALSE),"")</f>
        <v/>
      </c>
      <c r="H168" s="265" t="str">
        <f>IFERROR(VLOOKUP(D168,Calcs!B:N,12,FALSE),"")</f>
        <v/>
      </c>
    </row>
    <row r="169" spans="2:8" hidden="1">
      <c r="B169" s="406" t="str">
        <f>IFERROR(VLOOKUP(D169,Calcs!B:D,3,FALSE),"")</f>
        <v/>
      </c>
      <c r="C169" s="282" t="s">
        <v>993</v>
      </c>
      <c r="D169" s="354" t="s">
        <v>502</v>
      </c>
      <c r="E169" s="240"/>
      <c r="F169" s="391" t="str">
        <f>IFERROR(VLOOKUP(D169,Calcs!B:F,5,FALSE),"")</f>
        <v/>
      </c>
      <c r="G169" s="243" t="str">
        <f>IFERROR(VLOOKUP(D169,Calcs!B:M,11,FALSE),"")</f>
        <v/>
      </c>
      <c r="H169" s="265" t="str">
        <f>IFERROR(VLOOKUP(D169,Calcs!B:N,12,FALSE),"")</f>
        <v/>
      </c>
    </row>
    <row r="170" spans="2:8" ht="14.25" hidden="1" customHeight="1">
      <c r="B170" s="35" t="str">
        <f>IFERROR(VLOOKUP(D170,Calcs!B:D,3,FALSE),"")</f>
        <v/>
      </c>
      <c r="C170" s="282"/>
      <c r="D170" s="354" t="s">
        <v>549</v>
      </c>
      <c r="E170" s="240"/>
      <c r="F170" s="250" t="str">
        <f>IFERROR(VLOOKUP(D170,Calcs!B:F,5,FALSE),"")</f>
        <v/>
      </c>
      <c r="G170" s="243" t="str">
        <f>IFERROR(VLOOKUP(D170,Calcs!B:M,11,FALSE),"")</f>
        <v/>
      </c>
      <c r="H170" s="265" t="str">
        <f>IFERROR(VLOOKUP(D170,Calcs!B:N,12,FALSE),"")</f>
        <v/>
      </c>
    </row>
    <row r="171" spans="2:8" ht="14.25" hidden="1" customHeight="1">
      <c r="B171" s="35" t="str">
        <f>IFERROR(VLOOKUP(D171,Calcs!B:D,3,FALSE),"")</f>
        <v/>
      </c>
      <c r="C171" s="282"/>
      <c r="D171" s="354" t="s">
        <v>551</v>
      </c>
      <c r="E171" s="240"/>
      <c r="F171" s="250" t="str">
        <f>IFERROR(VLOOKUP(D171,Calcs!B:F,5,FALSE),"")</f>
        <v/>
      </c>
      <c r="G171" s="243" t="str">
        <f>IFERROR(VLOOKUP(D171,Calcs!B:M,11,FALSE),"")</f>
        <v/>
      </c>
      <c r="H171" s="265" t="str">
        <f>IFERROR(VLOOKUP(D171,Calcs!B:N,12,FALSE),"")</f>
        <v/>
      </c>
    </row>
    <row r="172" spans="2:8" ht="14.25" hidden="1" customHeight="1">
      <c r="B172" s="35" t="str">
        <f>IFERROR(VLOOKUP(D172,Calcs!B:D,3,FALSE),"")</f>
        <v/>
      </c>
      <c r="C172" s="282" t="s">
        <v>993</v>
      </c>
      <c r="D172" s="354" t="s">
        <v>508</v>
      </c>
      <c r="E172" s="240"/>
      <c r="F172" s="250" t="str">
        <f>IFERROR(VLOOKUP(D172,Calcs!B:F,5,FALSE),"")</f>
        <v/>
      </c>
      <c r="G172" s="243" t="str">
        <f>IFERROR(VLOOKUP(D172,Calcs!B:M,11,FALSE),"")</f>
        <v/>
      </c>
      <c r="H172" s="265" t="str">
        <f>IFERROR(VLOOKUP(D172,Calcs!B:N,12,FALSE),"")</f>
        <v/>
      </c>
    </row>
    <row r="173" spans="2:8" ht="14.25" hidden="1" customHeight="1">
      <c r="B173" s="35" t="str">
        <f>IFERROR(VLOOKUP(D173,Calcs!B:D,3,FALSE),"")</f>
        <v/>
      </c>
      <c r="C173" s="282" t="s">
        <v>993</v>
      </c>
      <c r="D173" s="354" t="s">
        <v>510</v>
      </c>
      <c r="E173" s="239"/>
      <c r="F173" s="250" t="str">
        <f>IFERROR(VLOOKUP(D173,Calcs!B:F,5,FALSE),"")</f>
        <v/>
      </c>
      <c r="G173" s="243" t="str">
        <f>IFERROR(VLOOKUP(D173,Calcs!B:M,11,FALSE),"")</f>
        <v/>
      </c>
      <c r="H173" s="265" t="str">
        <f>IFERROR(VLOOKUP(D173,Calcs!B:N,12,FALSE),"")</f>
        <v/>
      </c>
    </row>
    <row r="174" spans="2:8" ht="14.25" hidden="1" customHeight="1">
      <c r="B174" s="35" t="str">
        <f>IFERROR(VLOOKUP(D174,Calcs!B:D,3,FALSE),"")</f>
        <v/>
      </c>
      <c r="C174" s="282" t="s">
        <v>993</v>
      </c>
      <c r="D174" s="354" t="s">
        <v>512</v>
      </c>
      <c r="E174" s="239"/>
      <c r="F174" s="250" t="str">
        <f>IFERROR(VLOOKUP(D174,Calcs!B:F,5,FALSE),"")</f>
        <v/>
      </c>
      <c r="G174" s="243" t="str">
        <f>IFERROR(VLOOKUP(D174,Calcs!B:M,11,FALSE),"")</f>
        <v/>
      </c>
      <c r="H174" s="265" t="str">
        <f>IFERROR(VLOOKUP(D174,Calcs!B:N,12,FALSE),"")</f>
        <v/>
      </c>
    </row>
    <row r="175" spans="2:8" ht="14.25" hidden="1" customHeight="1">
      <c r="B175" s="35" t="str">
        <f>IFERROR(VLOOKUP(D175,Calcs!B:D,3,FALSE),"")</f>
        <v/>
      </c>
      <c r="C175" s="282" t="s">
        <v>993</v>
      </c>
      <c r="D175" s="354" t="s">
        <v>514</v>
      </c>
      <c r="E175" s="239"/>
      <c r="F175" s="250" t="str">
        <f>IFERROR(VLOOKUP(D175,Calcs!B:F,5,FALSE),"")</f>
        <v/>
      </c>
      <c r="G175" s="243" t="str">
        <f>IFERROR(VLOOKUP(D175,Calcs!B:M,11,FALSE),"")</f>
        <v/>
      </c>
      <c r="H175" s="265" t="str">
        <f>IFERROR(VLOOKUP(D175,Calcs!B:N,12,FALSE),"")</f>
        <v/>
      </c>
    </row>
    <row r="176" spans="2:8" ht="14.25" hidden="1" customHeight="1">
      <c r="B176" s="35" t="str">
        <f>IFERROR(VLOOKUP(D176,Calcs!B:D,3,FALSE),"")</f>
        <v/>
      </c>
      <c r="C176" s="282" t="s">
        <v>993</v>
      </c>
      <c r="D176" s="354" t="s">
        <v>535</v>
      </c>
      <c r="E176" s="239"/>
      <c r="F176" s="250" t="str">
        <f>IFERROR(VLOOKUP(D176,Calcs!B:F,5,FALSE),"")</f>
        <v/>
      </c>
      <c r="G176" s="243" t="str">
        <f>IFERROR(VLOOKUP(D176,Calcs!B:M,11,FALSE),"")</f>
        <v/>
      </c>
      <c r="H176" s="265" t="str">
        <f>IFERROR(VLOOKUP(D176,Calcs!B:N,12,FALSE),"")</f>
        <v/>
      </c>
    </row>
    <row r="177" spans="2:8" ht="14.25" hidden="1" customHeight="1">
      <c r="B177" s="35" t="str">
        <f>IFERROR(VLOOKUP(D177,Calcs!B:D,3,FALSE),"")</f>
        <v/>
      </c>
      <c r="C177" s="282" t="s">
        <v>993</v>
      </c>
      <c r="D177" s="354" t="s">
        <v>537</v>
      </c>
      <c r="E177" s="239"/>
      <c r="F177" s="250" t="str">
        <f>IFERROR(VLOOKUP(D177,Calcs!B:F,5,FALSE),"")</f>
        <v/>
      </c>
      <c r="G177" s="243" t="str">
        <f>IFERROR(VLOOKUP(D177,Calcs!B:M,11,FALSE),"")</f>
        <v/>
      </c>
      <c r="H177" s="265" t="str">
        <f>IFERROR(VLOOKUP(D177,Calcs!B:N,12,FALSE),"")</f>
        <v/>
      </c>
    </row>
    <row r="178" spans="2:8" ht="14.25" hidden="1" customHeight="1">
      <c r="B178" s="35" t="str">
        <f>IFERROR(VLOOKUP(D178,Calcs!B:D,3,FALSE),"")</f>
        <v/>
      </c>
      <c r="C178" s="282" t="s">
        <v>993</v>
      </c>
      <c r="D178" s="354" t="s">
        <v>533</v>
      </c>
      <c r="E178" s="239"/>
      <c r="F178" s="250" t="str">
        <f>IFERROR(VLOOKUP(D178,Calcs!B:F,5,FALSE),"")</f>
        <v/>
      </c>
      <c r="G178" s="243" t="str">
        <f>IFERROR(VLOOKUP(D178,Calcs!B:M,11,FALSE),"")</f>
        <v/>
      </c>
      <c r="H178" s="265" t="str">
        <f>IFERROR(VLOOKUP(D178,Calcs!B:N,12,FALSE),"")</f>
        <v/>
      </c>
    </row>
    <row r="179" spans="2:8" ht="14.25" hidden="1" customHeight="1">
      <c r="B179" s="35" t="str">
        <f>IFERROR(VLOOKUP(D179,Calcs!B:D,3,FALSE),"")</f>
        <v/>
      </c>
      <c r="C179" s="282"/>
      <c r="D179" s="144" t="s">
        <v>541</v>
      </c>
      <c r="E179" s="239"/>
      <c r="F179" s="250" t="str">
        <f>IFERROR(VLOOKUP(D179,Calcs!B:F,5,FALSE),"")</f>
        <v/>
      </c>
      <c r="G179" s="243" t="str">
        <f>IFERROR(VLOOKUP(D179,Calcs!B:M,11,FALSE),"")</f>
        <v/>
      </c>
      <c r="H179" s="265" t="str">
        <f>IFERROR(VLOOKUP(D179,Calcs!B:N,12,FALSE),"")</f>
        <v/>
      </c>
    </row>
    <row r="180" spans="2:8" ht="14.25" hidden="1" customHeight="1">
      <c r="B180" s="35" t="str">
        <f>IFERROR(VLOOKUP(D180,Calcs!B:D,3,FALSE),"")</f>
        <v/>
      </c>
      <c r="C180" s="282"/>
      <c r="D180" s="144" t="s">
        <v>543</v>
      </c>
      <c r="E180" s="239"/>
      <c r="F180" s="250" t="str">
        <f>IFERROR(VLOOKUP(D180,Calcs!B:F,5,FALSE),"")</f>
        <v/>
      </c>
      <c r="G180" s="243" t="str">
        <f>IFERROR(VLOOKUP(D180,Calcs!B:M,11,FALSE),"")</f>
        <v/>
      </c>
      <c r="H180" s="265" t="str">
        <f>IFERROR(VLOOKUP(D180,Calcs!B:N,12,FALSE),"")</f>
        <v/>
      </c>
    </row>
    <row r="181" spans="2:8" ht="14.25" hidden="1" customHeight="1">
      <c r="B181" s="35" t="str">
        <f>IFERROR(VLOOKUP(D181,Calcs!B:D,3,FALSE),"")</f>
        <v/>
      </c>
      <c r="C181" s="282"/>
      <c r="D181" s="144" t="s">
        <v>545</v>
      </c>
      <c r="E181" s="239"/>
      <c r="F181" s="250" t="str">
        <f>IFERROR(VLOOKUP(D181,Calcs!B:F,5,FALSE),"")</f>
        <v/>
      </c>
      <c r="G181" s="243" t="str">
        <f>IFERROR(VLOOKUP(D181,Calcs!B:M,11,FALSE),"")</f>
        <v/>
      </c>
      <c r="H181" s="265" t="str">
        <f>IFERROR(VLOOKUP(D181,Calcs!B:N,12,FALSE),"")</f>
        <v/>
      </c>
    </row>
    <row r="182" spans="2:8" ht="14.25" hidden="1" customHeight="1">
      <c r="B182" s="35" t="str">
        <f>IFERROR(VLOOKUP(D182,Calcs!B:D,3,FALSE),"")</f>
        <v/>
      </c>
      <c r="C182" s="282" t="s">
        <v>993</v>
      </c>
      <c r="D182" s="488">
        <v>24722</v>
      </c>
      <c r="E182" s="239"/>
      <c r="F182" s="250" t="str">
        <f>IFERROR(VLOOKUP(D182,Calcs!B:F,5,FALSE),"")</f>
        <v/>
      </c>
      <c r="G182" s="243" t="str">
        <f>IFERROR(VLOOKUP(D182,Calcs!B:M,11,FALSE),"")</f>
        <v/>
      </c>
      <c r="H182" s="265" t="str">
        <f>IFERROR(VLOOKUP(D182,Calcs!B:N,12,FALSE),"")</f>
        <v/>
      </c>
    </row>
    <row r="183" spans="2:8" ht="14.25" hidden="1" customHeight="1">
      <c r="B183" s="35" t="str">
        <f>IFERROR(VLOOKUP(D183,Calcs!B:D,3,FALSE),"")</f>
        <v/>
      </c>
      <c r="C183" s="282" t="s">
        <v>993</v>
      </c>
      <c r="D183" s="148">
        <v>48722</v>
      </c>
      <c r="E183" s="239"/>
      <c r="F183" s="250" t="str">
        <f>IFERROR(VLOOKUP(D183,Calcs!B:F,5,FALSE),"")</f>
        <v/>
      </c>
      <c r="G183" s="243" t="str">
        <f>IFERROR(VLOOKUP(D183,Calcs!B:M,11,FALSE),"")</f>
        <v/>
      </c>
      <c r="H183" s="265" t="str">
        <f>IFERROR(VLOOKUP(D183,Calcs!B:N,12,FALSE),"")</f>
        <v/>
      </c>
    </row>
    <row r="184" spans="2:8" ht="14.25" hidden="1" customHeight="1">
      <c r="B184" s="163" t="str">
        <f>IFERROR(VLOOKUP(D184,Calcs!B:D,3,FALSE),"")</f>
        <v/>
      </c>
      <c r="C184" s="282"/>
      <c r="D184" s="148" t="s">
        <v>500</v>
      </c>
      <c r="E184" s="239"/>
      <c r="F184" s="250" t="str">
        <f>IFERROR(VLOOKUP(D184,Calcs!B:F,5,FALSE),"")</f>
        <v/>
      </c>
      <c r="G184" s="243" t="str">
        <f>IFERROR(VLOOKUP(D184,Calcs!B:M,11,FALSE),"")</f>
        <v/>
      </c>
      <c r="H184" s="265" t="str">
        <f>IFERROR(VLOOKUP(D184,Calcs!B:N,12,FALSE),"")</f>
        <v/>
      </c>
    </row>
    <row r="185" spans="2:8" hidden="1">
      <c r="B185" s="583" t="str">
        <f>IF(F184=1,"*Includes customer’s logo professionally printed and applied to all mats and padding. One-time setup and application fee. Customer to Provide Logo Files","")</f>
        <v/>
      </c>
      <c r="C185" s="282"/>
      <c r="D185" s="148"/>
      <c r="E185" s="239"/>
      <c r="F185" s="559" t="str">
        <f>F184</f>
        <v/>
      </c>
      <c r="G185" s="243"/>
      <c r="H185" s="265"/>
    </row>
    <row r="186" spans="2:8" ht="14.25" hidden="1" customHeight="1">
      <c r="B186" s="550" t="s">
        <v>1022</v>
      </c>
      <c r="C186" s="282"/>
      <c r="D186" s="148"/>
      <c r="E186" s="239"/>
      <c r="F186" s="392" t="str">
        <f>IF(F187=1,1,"")</f>
        <v/>
      </c>
      <c r="G186" s="243"/>
      <c r="H186" s="265"/>
    </row>
    <row r="187" spans="2:8" ht="14.25" hidden="1" customHeight="1">
      <c r="B187" s="163" t="str">
        <f>IFERROR(VLOOKUP(D187,Calcs!B:D,3,FALSE),"")</f>
        <v/>
      </c>
      <c r="C187" s="282" t="s">
        <v>993</v>
      </c>
      <c r="D187" s="354" t="s">
        <v>516</v>
      </c>
      <c r="E187" s="241" t="s">
        <v>1023</v>
      </c>
      <c r="F187" s="250" t="str">
        <f>IFERROR(VLOOKUP(D187,Calcs!B:F,5,FALSE),"")</f>
        <v/>
      </c>
      <c r="G187" s="243" t="str">
        <f>IFERROR(VLOOKUP(D187,Calcs!B:M,11,FALSE),"")</f>
        <v/>
      </c>
      <c r="H187" s="265" t="str">
        <f>IFERROR(VLOOKUP(D187,Calcs!B:N,12,FALSE),"")</f>
        <v/>
      </c>
    </row>
    <row r="188" spans="2:8" ht="14.25" hidden="1" customHeight="1">
      <c r="B188" s="35" t="str">
        <f>IFERROR(VLOOKUP(D188,Calcs!B:D,3,FALSE),"")</f>
        <v/>
      </c>
      <c r="C188" s="282" t="s">
        <v>993</v>
      </c>
      <c r="D188" s="354" t="s">
        <v>520</v>
      </c>
      <c r="E188" s="241" t="s">
        <v>1024</v>
      </c>
      <c r="F188" s="250" t="str">
        <f>IFERROR(VLOOKUP(D188,Calcs!B:F,5,FALSE),"")</f>
        <v/>
      </c>
      <c r="G188" s="243" t="str">
        <f>IFERROR(VLOOKUP(D188,Calcs!B:M,11,FALSE),"")</f>
        <v/>
      </c>
      <c r="H188" s="265" t="str">
        <f>IFERROR(VLOOKUP(D188,Calcs!B:N,12,FALSE),"")</f>
        <v/>
      </c>
    </row>
    <row r="189" spans="2:8" ht="14.25" hidden="1" customHeight="1">
      <c r="B189" s="35" t="str">
        <f>IFERROR(VLOOKUP(D189,Calcs!B:D,3,FALSE),"")</f>
        <v/>
      </c>
      <c r="C189" s="282" t="s">
        <v>993</v>
      </c>
      <c r="D189" s="354" t="s">
        <v>523</v>
      </c>
      <c r="E189" s="241" t="s">
        <v>1024</v>
      </c>
      <c r="F189" s="250" t="str">
        <f>IFERROR(VLOOKUP(D189,Calcs!B:F,5,FALSE),"")</f>
        <v/>
      </c>
      <c r="G189" s="243" t="str">
        <f>IFERROR(VLOOKUP(D189,Calcs!B:M,11,FALSE),"")</f>
        <v/>
      </c>
      <c r="H189" s="265" t="str">
        <f>IFERROR(VLOOKUP(D189,Calcs!B:N,12,FALSE),"")</f>
        <v/>
      </c>
    </row>
    <row r="190" spans="2:8" ht="14.25" hidden="1" customHeight="1">
      <c r="B190" s="35" t="str">
        <f>IFERROR(VLOOKUP(D190,Calcs!B:D,3,FALSE),"")</f>
        <v/>
      </c>
      <c r="C190" s="282" t="s">
        <v>993</v>
      </c>
      <c r="D190" s="354" t="s">
        <v>525</v>
      </c>
      <c r="E190" s="241" t="s">
        <v>1024</v>
      </c>
      <c r="F190" s="250" t="str">
        <f>IFERROR(VLOOKUP(D190,Calcs!B:F,5,FALSE),"")</f>
        <v/>
      </c>
      <c r="G190" s="243" t="str">
        <f>IFERROR(VLOOKUP(D190,Calcs!B:M,11,FALSE),"")</f>
        <v/>
      </c>
      <c r="H190" s="265" t="str">
        <f>IFERROR(VLOOKUP(D190,Calcs!B:N,12,FALSE),"")</f>
        <v/>
      </c>
    </row>
    <row r="191" spans="2:8" ht="14.25" hidden="1" customHeight="1">
      <c r="B191" s="35" t="str">
        <f>IFERROR(VLOOKUP(D191,Calcs!B:D,3,FALSE),"")</f>
        <v/>
      </c>
      <c r="C191" s="282" t="s">
        <v>993</v>
      </c>
      <c r="D191" s="354" t="s">
        <v>531</v>
      </c>
      <c r="E191" s="241" t="s">
        <v>1025</v>
      </c>
      <c r="F191" s="250" t="str">
        <f>IFERROR(VLOOKUP(D191,Calcs!B:F,5,FALSE),"")</f>
        <v/>
      </c>
      <c r="G191" s="243" t="str">
        <f>IFERROR(VLOOKUP(D191,Calcs!B:M,11,FALSE),"")</f>
        <v/>
      </c>
      <c r="H191" s="265" t="str">
        <f>IFERROR(VLOOKUP(D191,Calcs!B:N,12,FALSE),"")</f>
        <v/>
      </c>
    </row>
    <row r="192" spans="2:8" ht="14.25" hidden="1" customHeight="1">
      <c r="B192" s="35" t="str">
        <f>IFERROR(VLOOKUP(D192,Calcs!B:D,3,FALSE),"")</f>
        <v/>
      </c>
      <c r="C192" s="282" t="s">
        <v>993</v>
      </c>
      <c r="D192" s="354" t="s">
        <v>547</v>
      </c>
      <c r="E192" s="241" t="s">
        <v>1025</v>
      </c>
      <c r="F192" s="250" t="str">
        <f>IFERROR(VLOOKUP(D192,Calcs!B:F,5,FALSE),"")</f>
        <v/>
      </c>
      <c r="G192" s="243" t="str">
        <f>IFERROR(VLOOKUP(D192,Calcs!B:M,11,FALSE),"")</f>
        <v/>
      </c>
      <c r="H192" s="265" t="str">
        <f>IFERROR(VLOOKUP(D192,Calcs!B:N,12,FALSE),"")</f>
        <v/>
      </c>
    </row>
    <row r="193" spans="2:8" ht="14.25" customHeight="1">
      <c r="B193" s="555" t="str">
        <f>IF(F193&gt;=1,"*Please allow 8-10 weeks for manufacturing &amp; delivery of all mat systems","")</f>
        <v>*Please allow 8-10 weeks for manufacturing &amp; delivery of all mat systems</v>
      </c>
      <c r="C193" s="389"/>
      <c r="D193" s="354"/>
      <c r="E193" s="390"/>
      <c r="F193" s="392">
        <f>SUM(F135:F192)</f>
        <v>8</v>
      </c>
      <c r="G193" s="243"/>
      <c r="H193" s="265"/>
    </row>
    <row r="194" spans="2:8" ht="14.25" customHeight="1">
      <c r="B194" s="555" t="str">
        <f>IF(F193&gt;=1,"*All column wraps &amp; floor padding colors will be determined after proposal is signed","")</f>
        <v>*All column wraps &amp; floor padding colors will be determined after proposal is signed</v>
      </c>
      <c r="C194" s="389"/>
      <c r="D194" s="354"/>
      <c r="E194" s="390"/>
      <c r="F194" s="392">
        <f>SUM(F135:F192)</f>
        <v>8</v>
      </c>
      <c r="G194" s="243"/>
      <c r="H194" s="265"/>
    </row>
    <row r="195" spans="2:8" ht="14.25" customHeight="1">
      <c r="B195" s="393" t="s">
        <v>405</v>
      </c>
      <c r="C195" s="389"/>
      <c r="D195" s="354"/>
      <c r="E195" s="390"/>
      <c r="F195" s="392" t="s">
        <v>978</v>
      </c>
      <c r="G195" s="244"/>
      <c r="H195" s="269">
        <f>SUM(H135:H192)</f>
        <v>3374.08</v>
      </c>
    </row>
    <row r="196" spans="2:8" ht="14.25" customHeight="1">
      <c r="B196" s="393"/>
      <c r="C196" s="389"/>
      <c r="D196" s="354"/>
      <c r="E196" s="390"/>
      <c r="F196" s="392" t="s">
        <v>979</v>
      </c>
      <c r="G196" s="244"/>
      <c r="H196" s="269"/>
    </row>
    <row r="197" spans="2:8" ht="14.25" customHeight="1" thickBot="1">
      <c r="B197" s="631" t="s">
        <v>1026</v>
      </c>
      <c r="C197" s="589"/>
      <c r="D197" s="590"/>
      <c r="E197" s="591"/>
      <c r="F197" s="409" t="s">
        <v>976</v>
      </c>
      <c r="G197" s="592"/>
      <c r="H197" s="593"/>
    </row>
    <row r="198" spans="2:8" ht="14.25" customHeight="1">
      <c r="B198" s="632" t="s">
        <v>981</v>
      </c>
      <c r="C198" s="282"/>
      <c r="D198" s="594"/>
      <c r="E198" s="241"/>
      <c r="F198" s="392" t="s">
        <v>1027</v>
      </c>
      <c r="G198" s="243"/>
      <c r="H198" s="265"/>
    </row>
    <row r="199" spans="2:8" ht="14.25" hidden="1" customHeight="1">
      <c r="B199" s="633" t="s">
        <v>1028</v>
      </c>
      <c r="C199" s="282"/>
      <c r="D199" s="594"/>
      <c r="E199" s="241"/>
      <c r="F199" s="559" t="str">
        <f>IF(SUM(F200:F204)&gt;=1,1,"")</f>
        <v/>
      </c>
      <c r="G199" s="243"/>
      <c r="H199" s="265"/>
    </row>
    <row r="200" spans="2:8" ht="14.25" hidden="1" customHeight="1">
      <c r="B200" s="163" t="str">
        <f>IFERROR(VLOOKUP(D200,Calcs!B:D,3,FALSE),"")</f>
        <v/>
      </c>
      <c r="C200" s="282"/>
      <c r="D200" s="354" t="s">
        <v>636</v>
      </c>
      <c r="E200" s="241"/>
      <c r="F200" s="250">
        <f>IFERROR(VLOOKUP(D200,Calcs!B:F,5,FALSE),0)</f>
        <v>0</v>
      </c>
      <c r="G200" s="243" t="str">
        <f>IFERROR(VLOOKUP(D200,Calcs!B:M,11,FALSE),"")</f>
        <v/>
      </c>
      <c r="H200" s="265" t="str">
        <f>IFERROR(VLOOKUP(D200,Calcs!B:N,12,FALSE),"")</f>
        <v/>
      </c>
    </row>
    <row r="201" spans="2:8" ht="14.25" hidden="1" customHeight="1">
      <c r="B201" s="595" t="s">
        <v>1029</v>
      </c>
      <c r="C201" s="282"/>
      <c r="D201" s="354"/>
      <c r="E201" s="241"/>
      <c r="F201" s="392">
        <f>F200</f>
        <v>0</v>
      </c>
      <c r="G201" s="243" t="str">
        <f>IFERROR(VLOOKUP(D201,Calcs!B:M,11,FALSE),"")</f>
        <v/>
      </c>
      <c r="H201" s="265" t="str">
        <f>IFERROR(VLOOKUP(D201,Calcs!B:N,12,FALSE),"")</f>
        <v/>
      </c>
    </row>
    <row r="202" spans="2:8" ht="14.25" hidden="1" customHeight="1">
      <c r="B202" s="163" t="str">
        <f>IFERROR(VLOOKUP(D202,Calcs!B:D,3,FALSE),"")</f>
        <v/>
      </c>
      <c r="C202" s="282"/>
      <c r="D202" s="354" t="s">
        <v>638</v>
      </c>
      <c r="E202" s="241"/>
      <c r="F202" s="250" t="str">
        <f>IFERROR(VLOOKUP(D202,Calcs!B:F,5,FALSE),"")</f>
        <v/>
      </c>
      <c r="G202" s="243" t="str">
        <f>IFERROR(VLOOKUP(D202,Calcs!B:M,11,FALSE),"")</f>
        <v/>
      </c>
      <c r="H202" s="265" t="str">
        <f>IFERROR(VLOOKUP(D202,Calcs!B:N,12,FALSE),"")</f>
        <v/>
      </c>
    </row>
    <row r="203" spans="2:8" ht="14.25" hidden="1" customHeight="1">
      <c r="B203" s="163" t="str">
        <f>IFERROR(VLOOKUP(D203,Calcs!B:D,3,FALSE),"")</f>
        <v/>
      </c>
      <c r="C203" s="282"/>
      <c r="D203" s="354" t="s">
        <v>632</v>
      </c>
      <c r="E203" s="241" t="s">
        <v>1030</v>
      </c>
      <c r="F203" s="250" t="str">
        <f>IFERROR(VLOOKUP(D203,Calcs!B:F,5,FALSE),"")</f>
        <v/>
      </c>
      <c r="G203" s="243" t="str">
        <f>IFERROR(VLOOKUP(D203,Calcs!B:M,11,FALSE),"")</f>
        <v/>
      </c>
      <c r="H203" s="265" t="str">
        <f>IFERROR(VLOOKUP(D203,Calcs!B:N,12,FALSE),"")</f>
        <v/>
      </c>
    </row>
    <row r="204" spans="2:8" ht="14.25" hidden="1" customHeight="1">
      <c r="B204" s="163" t="str">
        <f>IFERROR(VLOOKUP(D204,Calcs!B:D,3,FALSE),"")</f>
        <v/>
      </c>
      <c r="C204" s="282"/>
      <c r="D204" s="354" t="s">
        <v>634</v>
      </c>
      <c r="E204" s="241" t="s">
        <v>1030</v>
      </c>
      <c r="F204" s="250" t="str">
        <f>IFERROR(VLOOKUP(D204,Calcs!B:F,5,FALSE),"")</f>
        <v/>
      </c>
      <c r="G204" s="243" t="str">
        <f>IFERROR(VLOOKUP(D204,Calcs!B:M,11,FALSE),"")</f>
        <v/>
      </c>
      <c r="H204" s="265" t="str">
        <f>IFERROR(VLOOKUP(D204,Calcs!B:N,12,FALSE),"")</f>
        <v/>
      </c>
    </row>
    <row r="205" spans="2:8" ht="14.25" hidden="1" customHeight="1">
      <c r="B205" s="557" t="str">
        <f>IF(F200&gt;0.99,"Passthrough Freight Charge (Required)","")</f>
        <v/>
      </c>
      <c r="C205" s="282"/>
      <c r="D205" s="144" t="s">
        <v>628</v>
      </c>
      <c r="E205" s="241"/>
      <c r="F205" s="250">
        <f>IF(F200&gt;1,1,0)</f>
        <v>0</v>
      </c>
      <c r="G205" s="243"/>
      <c r="H205" s="561" t="str">
        <f>IF(F205=1,VLOOKUP(D205,Calcs!B:N,12,FALSE),"")</f>
        <v/>
      </c>
    </row>
    <row r="206" spans="2:8" ht="14.25" hidden="1" customHeight="1">
      <c r="B206" s="557"/>
      <c r="C206" s="282"/>
      <c r="D206" s="144"/>
      <c r="E206" s="241"/>
      <c r="F206" s="250"/>
      <c r="G206" s="243"/>
      <c r="H206" s="561"/>
    </row>
    <row r="207" spans="2:8" ht="14.25" customHeight="1">
      <c r="B207" s="393" t="s">
        <v>1031</v>
      </c>
      <c r="C207" s="389"/>
      <c r="D207" s="354"/>
      <c r="E207" s="390"/>
      <c r="F207" s="392" t="s">
        <v>978</v>
      </c>
      <c r="G207" s="244"/>
      <c r="H207" s="269">
        <f>SUM(H200:H206)</f>
        <v>0</v>
      </c>
    </row>
    <row r="208" spans="2:8" ht="14.25" customHeight="1">
      <c r="B208" s="393"/>
      <c r="C208" s="389"/>
      <c r="D208" s="354"/>
      <c r="E208" s="390"/>
      <c r="F208" s="392" t="s">
        <v>979</v>
      </c>
      <c r="G208" s="244"/>
      <c r="H208" s="267"/>
    </row>
    <row r="209" spans="2:8" ht="14.25" customHeight="1" thickBot="1">
      <c r="B209" s="411" t="s">
        <v>342</v>
      </c>
      <c r="C209" s="398"/>
      <c r="D209" s="398"/>
      <c r="E209" s="399"/>
      <c r="F209" s="400" t="s">
        <v>976</v>
      </c>
      <c r="G209" s="249"/>
      <c r="H209" s="266"/>
    </row>
    <row r="210" spans="2:8" ht="15" customHeight="1">
      <c r="B210" s="388" t="s">
        <v>1032</v>
      </c>
      <c r="C210" s="389"/>
      <c r="D210" s="389" t="s">
        <v>724</v>
      </c>
      <c r="E210" s="390"/>
      <c r="F210" s="391">
        <v>1</v>
      </c>
      <c r="G210" s="208">
        <f>Calcs!M222-H221-H213</f>
        <v>895.94999999999993</v>
      </c>
      <c r="H210" s="265">
        <f>F210*G210</f>
        <v>895.94999999999993</v>
      </c>
    </row>
    <row r="211" spans="2:8" ht="15" customHeight="1">
      <c r="B211" s="406" t="str">
        <f>IFERROR(VLOOKUP(D211,Calcs!B:D,3,FALSE),"")</f>
        <v>Quick Shift Saddle Bracket™</v>
      </c>
      <c r="C211" s="389"/>
      <c r="D211" s="389" t="s">
        <v>394</v>
      </c>
      <c r="E211" s="412"/>
      <c r="F211" s="391">
        <f>IF(Calcs!F30&gt;0,(VLOOKUP(D211,Calcs!B:G,5,FALSE)),0)</f>
        <v>4</v>
      </c>
      <c r="G211" s="243">
        <f>IFERROR(VLOOKUP(D211,Calcs!B30:L30,11,FALSE),0)</f>
        <v>117.3</v>
      </c>
      <c r="H211" s="252">
        <f>IFERROR(VLOOKUP(D211,Calcs!B:N,12,FALSE),0)</f>
        <v>469.2</v>
      </c>
    </row>
    <row r="212" spans="2:8">
      <c r="B212" s="417" t="s">
        <v>1033</v>
      </c>
      <c r="C212" s="389"/>
      <c r="D212" s="389"/>
      <c r="E212" s="412"/>
      <c r="F212" s="392">
        <f>F211</f>
        <v>4</v>
      </c>
      <c r="G212" s="243"/>
      <c r="H212" s="252"/>
    </row>
    <row r="213" spans="2:8">
      <c r="B213" s="540" t="str">
        <f>IFERROR(VLOOKUP(D213,Calcs!$B$183:$M$222,3,FALSE),"")</f>
        <v>Swing &amp; Swivel Eye Bolt (for Quick Shift Saddle Bracket™)</v>
      </c>
      <c r="C213" s="389"/>
      <c r="D213" t="s">
        <v>653</v>
      </c>
      <c r="E213" s="412"/>
      <c r="F213" s="391">
        <f>IF(Calcs!F185&gt;0,(VLOOKUP(D213,Calcs!B:G,5,FALSE)),0)</f>
        <v>4</v>
      </c>
      <c r="G213" s="243">
        <f>IFERROR(VLOOKUP(D213,Calcs!$B$183:$M$222,11,FALSE),0)</f>
        <v>158.72999999999999</v>
      </c>
      <c r="H213" s="252">
        <f>IFERROR(VLOOKUP(D213,Calcs!$B$183:$M$222,12,FALSE),0)</f>
        <v>634.91999999999996</v>
      </c>
    </row>
    <row r="214" spans="2:8">
      <c r="B214" s="541" t="s">
        <v>1034</v>
      </c>
      <c r="C214" s="389"/>
      <c r="E214" s="412"/>
      <c r="F214" s="392">
        <f>F213</f>
        <v>4</v>
      </c>
      <c r="G214" s="243"/>
      <c r="H214" s="252"/>
    </row>
    <row r="215" spans="2:8">
      <c r="B215" s="541" t="s">
        <v>1035</v>
      </c>
      <c r="C215" s="389"/>
      <c r="E215" s="412"/>
      <c r="F215" s="392">
        <f>F213</f>
        <v>4</v>
      </c>
      <c r="G215" s="243"/>
      <c r="H215" s="252"/>
    </row>
    <row r="216" spans="2:8" hidden="1">
      <c r="B216" s="542" t="str">
        <f>IFERROR(VLOOKUP(D216,Calcs!B:D,3,FALSE),"")</f>
        <v/>
      </c>
      <c r="C216" s="23"/>
      <c r="D216" t="s">
        <v>655</v>
      </c>
      <c r="E216" s="239"/>
      <c r="F216" s="250">
        <f>IF(Calcs!F186&gt;0,(VLOOKUP(D216,Calcs!B:G,5,FALSE)),0)</f>
        <v>0</v>
      </c>
      <c r="G216" s="243">
        <f>IFERROR(VLOOKUP(D216,Calcs!$B$183:$M$222,11,FALSE),0)</f>
        <v>0</v>
      </c>
      <c r="H216" s="243">
        <f>IFERROR(VLOOKUP(D216,Calcs!$B$183:$M$222,12,FALSE),0)</f>
        <v>0</v>
      </c>
    </row>
    <row r="217" spans="2:8" hidden="1">
      <c r="B217" s="542" t="str">
        <f>IFERROR(VLOOKUP(D217,Calcs!B:D,3,FALSE),"")</f>
        <v/>
      </c>
      <c r="C217" s="23"/>
      <c r="D217" t="s">
        <v>721</v>
      </c>
      <c r="E217" s="239"/>
      <c r="F217" s="250">
        <f>IF(VLOOKUP!E47&gt;0,(VLOOKUP(D217,Calcs!B:G,5,FALSE)),0)</f>
        <v>0</v>
      </c>
      <c r="G217" s="243">
        <f>IFERROR(VLOOKUP(D217,Calcs!$B$183:$M$222,11,FALSE),0)</f>
        <v>0</v>
      </c>
      <c r="H217" s="243">
        <f>IFERROR(VLOOKUP(D217,Calcs!$B$183:$M$222,12,FALSE),0)</f>
        <v>0</v>
      </c>
    </row>
    <row r="218" spans="2:8" hidden="1">
      <c r="B218" s="541" t="s">
        <v>1035</v>
      </c>
      <c r="C218" s="23"/>
      <c r="E218" s="239"/>
      <c r="F218" s="559">
        <f>F217</f>
        <v>0</v>
      </c>
      <c r="G218" s="243"/>
      <c r="H218" s="243"/>
    </row>
    <row r="219" spans="2:8" hidden="1">
      <c r="B219" s="163" t="str">
        <f>IFERROR(VLOOKUP(D219,Calcs!B:D,3,FALSE),"")</f>
        <v/>
      </c>
      <c r="C219" s="23"/>
      <c r="D219" t="s">
        <v>659</v>
      </c>
      <c r="E219" s="562" t="s">
        <v>1036</v>
      </c>
      <c r="F219" s="391">
        <f>Calcs!F188</f>
        <v>0</v>
      </c>
      <c r="G219" s="243">
        <f>IFERROR(VLOOKUP(D219,Calcs!$B$183:$M$222,11,FALSE),0)</f>
        <v>0</v>
      </c>
      <c r="H219" s="243">
        <f>IFERROR(VLOOKUP(D219,Calcs!$B$183:$M$222,12,FALSE),0)</f>
        <v>0</v>
      </c>
    </row>
    <row r="220" spans="2:8" hidden="1">
      <c r="B220" s="417" t="s">
        <v>1037</v>
      </c>
      <c r="C220" s="23"/>
      <c r="E220" s="562"/>
      <c r="F220" s="392">
        <f>F219</f>
        <v>0</v>
      </c>
      <c r="G220" s="243"/>
      <c r="H220" s="243"/>
    </row>
    <row r="221" spans="2:8">
      <c r="B221" s="406" t="str">
        <f>IFERROR(VLOOKUP(D221,Calcs!B:D,3,FALSE),"")</f>
        <v>Eye Bolt - Fixed</v>
      </c>
      <c r="C221" s="389"/>
      <c r="D221" s="466" t="s">
        <v>657</v>
      </c>
      <c r="E221" s="563"/>
      <c r="F221" s="391">
        <f>Calcs!O187</f>
        <v>12</v>
      </c>
      <c r="G221" s="243">
        <f>IFERROR(VLOOKUP(D221,Calcs!$B$183:$M$222,11,FALSE),0)</f>
        <v>20.59</v>
      </c>
      <c r="H221" s="243">
        <f>IFERROR(VLOOKUP(D221,Calcs!$B$183:$M$222,12,FALSE),0)-H128</f>
        <v>247.07999999999998</v>
      </c>
    </row>
    <row r="222" spans="2:8" hidden="1">
      <c r="B222" s="35"/>
      <c r="C222" s="23"/>
      <c r="D222" s="23"/>
      <c r="E222" s="239"/>
      <c r="F222" s="250"/>
      <c r="G222" s="243"/>
      <c r="H222" s="251"/>
    </row>
    <row r="223" spans="2:8" ht="14.25" customHeight="1">
      <c r="B223" s="393" t="s">
        <v>405</v>
      </c>
      <c r="C223" s="394"/>
      <c r="D223" s="394"/>
      <c r="E223" s="395"/>
      <c r="F223" s="396" t="s">
        <v>978</v>
      </c>
      <c r="G223" s="244"/>
      <c r="H223" s="253">
        <f>SUM(H210:H222)</f>
        <v>2247.1499999999996</v>
      </c>
    </row>
    <row r="224" spans="2:8" ht="14.25" hidden="1" customHeight="1">
      <c r="B224" s="393"/>
      <c r="C224" s="394"/>
      <c r="D224" s="394"/>
      <c r="E224" s="395"/>
      <c r="F224" s="396"/>
      <c r="G224" s="244"/>
      <c r="H224" s="253"/>
    </row>
    <row r="225" spans="2:10" ht="14.25" customHeight="1" thickBot="1">
      <c r="B225" s="411" t="s">
        <v>1137</v>
      </c>
      <c r="C225" s="398"/>
      <c r="D225" s="398"/>
      <c r="E225" s="399"/>
      <c r="F225" s="409">
        <v>1</v>
      </c>
      <c r="G225" s="415"/>
      <c r="H225" s="266"/>
    </row>
    <row r="226" spans="2:10" ht="14.25" customHeight="1">
      <c r="B226" s="388" t="s">
        <v>1138</v>
      </c>
      <c r="C226" s="389"/>
      <c r="D226" s="389" t="s">
        <v>1404</v>
      </c>
      <c r="E226" s="390"/>
      <c r="F226" s="803">
        <v>1</v>
      </c>
      <c r="G226" s="804"/>
      <c r="H226" s="265">
        <v>500</v>
      </c>
    </row>
    <row r="227" spans="2:10" ht="14.25" customHeight="1">
      <c r="B227" s="388" t="s">
        <v>1138</v>
      </c>
      <c r="C227" s="389"/>
      <c r="D227" s="389" t="s">
        <v>1405</v>
      </c>
      <c r="E227" s="390"/>
      <c r="F227" s="803">
        <v>1</v>
      </c>
      <c r="G227" s="804"/>
      <c r="H227" s="265">
        <v>300</v>
      </c>
    </row>
    <row r="228" spans="2:10" ht="14.25" customHeight="1">
      <c r="B228" s="393" t="s">
        <v>405</v>
      </c>
      <c r="C228" s="389"/>
      <c r="D228" s="389"/>
      <c r="E228" s="390"/>
      <c r="F228" s="392">
        <v>1</v>
      </c>
      <c r="G228" s="416"/>
      <c r="H228" s="269">
        <f>SUM(H226:H227)</f>
        <v>800</v>
      </c>
    </row>
    <row r="229" spans="2:10" ht="14.25" customHeight="1">
      <c r="B229" s="388"/>
      <c r="C229" s="389"/>
      <c r="D229" s="389"/>
      <c r="E229" s="390"/>
      <c r="F229" s="392" t="s">
        <v>979</v>
      </c>
      <c r="G229" s="416"/>
      <c r="H229" s="265"/>
    </row>
    <row r="230" spans="2:10" ht="14.25" customHeight="1">
      <c r="B230" s="822"/>
      <c r="C230" s="823"/>
      <c r="D230" s="823"/>
      <c r="E230" s="824"/>
      <c r="F230" s="807" t="s">
        <v>1038</v>
      </c>
      <c r="G230" s="818"/>
      <c r="H230" s="349">
        <f>H52+H131+H65+H223+H195+H207+H228</f>
        <v>20742.14</v>
      </c>
    </row>
    <row r="231" spans="2:10" ht="14.25" customHeight="1">
      <c r="B231" s="31"/>
      <c r="C231" s="31"/>
      <c r="D231" s="31"/>
      <c r="E231" s="31"/>
      <c r="F231" s="819" t="s">
        <v>1039</v>
      </c>
      <c r="G231" s="820"/>
      <c r="H231" s="350">
        <f>Calcs!R19</f>
        <v>3666.3</v>
      </c>
    </row>
    <row r="232" spans="2:10" ht="14.25" customHeight="1">
      <c r="B232" s="31"/>
      <c r="C232" s="31"/>
      <c r="D232" s="31"/>
      <c r="E232" s="31"/>
      <c r="F232" s="821" t="s">
        <v>1406</v>
      </c>
      <c r="G232" s="821"/>
      <c r="H232" s="805">
        <v>400</v>
      </c>
    </row>
    <row r="233" spans="2:10" ht="14.25" customHeight="1">
      <c r="E233" s="31"/>
      <c r="F233" s="807" t="str">
        <f>IFERROR(IF(Calcs!R19&gt;0.01,"DISCOUNT EXPIRATION:",""),"")</f>
        <v>DISCOUNT EXPIRATION:</v>
      </c>
      <c r="G233" s="808"/>
      <c r="H233" s="348">
        <f ca="1">IFERROR(IF(Calcs!R19&gt;0.01,(H9+6),""),"")</f>
        <v>46231</v>
      </c>
      <c r="I233" s="131"/>
    </row>
    <row r="234" spans="2:10" ht="14.25" hidden="1" customHeight="1">
      <c r="E234" s="31"/>
      <c r="F234" s="834" t="str">
        <f>IFERROR(IF(Discovery!B17="Yes","TRAVEL:",""),"")</f>
        <v/>
      </c>
      <c r="G234" s="835"/>
      <c r="H234" s="283">
        <f>IF(Discovery!B17="Yes",Discovery!B18,0)</f>
        <v>0</v>
      </c>
    </row>
    <row r="235" spans="2:10" ht="14.25" customHeight="1">
      <c r="B235" s="829" t="s">
        <v>1040</v>
      </c>
      <c r="C235" s="829"/>
      <c r="D235" s="829"/>
      <c r="E235" s="15"/>
      <c r="F235" s="807" t="s">
        <v>1041</v>
      </c>
      <c r="G235" s="808"/>
      <c r="H235" s="235" t="str">
        <f>IF(Discovery!B19="TBD","TBD",Discovery!B19)</f>
        <v>TBD</v>
      </c>
      <c r="J235" s="131"/>
    </row>
    <row r="236" spans="2:10" ht="14.25" customHeight="1">
      <c r="B236" s="829"/>
      <c r="C236" s="829"/>
      <c r="D236" s="829"/>
      <c r="E236" s="15"/>
      <c r="F236" s="807" t="s">
        <v>1042</v>
      </c>
      <c r="G236" s="808"/>
      <c r="H236" s="235">
        <f>IF(Discovery!B24="TBD","TBD",Discovery!B24)</f>
        <v>859.14</v>
      </c>
      <c r="J236" s="131"/>
    </row>
    <row r="237" spans="2:10" ht="14.25" customHeight="1">
      <c r="B237" s="829"/>
      <c r="C237" s="829"/>
      <c r="D237" s="829"/>
      <c r="E237" s="15"/>
      <c r="F237" s="830" t="s">
        <v>961</v>
      </c>
      <c r="G237" s="831"/>
      <c r="H237" s="235">
        <f>IF(Discovery!B25="TBD","TBD",Discovery!C25)</f>
        <v>294.07</v>
      </c>
    </row>
    <row r="238" spans="2:10" ht="14.25" customHeight="1">
      <c r="B238" s="829"/>
      <c r="C238" s="829"/>
      <c r="D238" s="829"/>
      <c r="E238" s="15"/>
      <c r="F238" s="827" t="s">
        <v>1043</v>
      </c>
      <c r="G238" s="828"/>
      <c r="H238" s="319">
        <f>H230-H231+(IF(H237="TBD",0,H237))+H234+(IF(H235="TBD",0,H235))+(IF(H236="TBD",0,H236))</f>
        <v>18229.05</v>
      </c>
    </row>
    <row r="239" spans="2:10" ht="14.25" customHeight="1">
      <c r="B239" s="829"/>
      <c r="C239" s="829"/>
      <c r="D239" s="829"/>
      <c r="E239" s="15"/>
      <c r="F239" s="827" t="s">
        <v>1044</v>
      </c>
      <c r="G239" s="828"/>
      <c r="H239" s="336">
        <f>H238/2</f>
        <v>9114.5249999999996</v>
      </c>
    </row>
    <row r="240" spans="2:10" ht="14.25" customHeight="1">
      <c r="B240" s="15"/>
      <c r="C240" s="15"/>
      <c r="D240" s="15"/>
      <c r="E240" s="15"/>
      <c r="F240" s="156"/>
      <c r="G240" s="15"/>
      <c r="H240" s="15"/>
    </row>
    <row r="241" spans="2:10" ht="14.25" customHeight="1">
      <c r="B241" s="833" t="s">
        <v>964</v>
      </c>
      <c r="C241" s="833"/>
      <c r="D241" s="833"/>
      <c r="E241" s="833"/>
      <c r="F241" s="833"/>
      <c r="G241" s="833"/>
      <c r="H241" s="833"/>
    </row>
    <row r="242" spans="2:10" ht="14.25" customHeight="1">
      <c r="B242" s="833"/>
      <c r="C242" s="833"/>
      <c r="D242" s="833"/>
      <c r="E242" s="833"/>
      <c r="F242" s="833"/>
      <c r="G242" s="833"/>
      <c r="H242" s="833"/>
    </row>
    <row r="243" spans="2:10" ht="14.25" customHeight="1">
      <c r="B243" s="15"/>
      <c r="C243" s="15"/>
      <c r="D243" s="15"/>
      <c r="E243" s="15"/>
      <c r="F243" s="156"/>
      <c r="G243" s="15"/>
      <c r="H243" s="15"/>
    </row>
    <row r="244" spans="2:10" ht="14.25" customHeight="1">
      <c r="B244" s="281" t="s">
        <v>965</v>
      </c>
      <c r="C244" s="32"/>
      <c r="D244" s="32"/>
      <c r="E244" s="32"/>
      <c r="F244" s="158"/>
      <c r="G244" s="32"/>
      <c r="H244" s="32"/>
    </row>
    <row r="245" spans="2:10">
      <c r="C245" s="156"/>
      <c r="D245" s="156"/>
      <c r="E245" s="156"/>
      <c r="F245" s="156"/>
      <c r="G245" s="156"/>
      <c r="H245" s="156"/>
      <c r="J245" s="131"/>
    </row>
    <row r="246" spans="2:10" ht="14.25" customHeight="1">
      <c r="B246" s="281"/>
      <c r="C246" s="156"/>
      <c r="D246" s="156"/>
      <c r="E246" s="156"/>
      <c r="F246" s="156"/>
      <c r="G246" s="156"/>
      <c r="H246" s="156"/>
      <c r="J246" s="131"/>
    </row>
    <row r="247" spans="2:10" ht="14.25" customHeight="1">
      <c r="B247" s="281"/>
      <c r="C247" s="156"/>
      <c r="D247" s="156"/>
      <c r="E247" s="156"/>
      <c r="F247" s="156"/>
      <c r="G247" s="156"/>
      <c r="H247" s="156"/>
    </row>
    <row r="248" spans="2:10" ht="14.25" customHeight="1">
      <c r="B248" s="337"/>
      <c r="C248" s="337"/>
      <c r="D248" s="337"/>
      <c r="E248" s="337"/>
      <c r="F248" s="826"/>
      <c r="G248" s="826"/>
      <c r="H248" s="826"/>
    </row>
    <row r="249" spans="2:10" s="46" customFormat="1">
      <c r="B249" s="613" t="s">
        <v>966</v>
      </c>
      <c r="D249" s="614" t="s">
        <v>967</v>
      </c>
      <c r="E249" s="615"/>
      <c r="F249" s="279"/>
      <c r="G249" s="832" t="s">
        <v>968</v>
      </c>
      <c r="H249" s="832"/>
    </row>
    <row r="250" spans="2:10">
      <c r="B250" s="156"/>
      <c r="C250" s="156"/>
      <c r="D250" s="156"/>
      <c r="E250" s="156"/>
      <c r="F250" s="156"/>
      <c r="G250" s="156"/>
      <c r="H250" s="156"/>
    </row>
    <row r="251" spans="2:10">
      <c r="B251" s="825" t="s">
        <v>969</v>
      </c>
      <c r="C251" s="825"/>
      <c r="D251" s="825"/>
      <c r="E251" s="825"/>
      <c r="F251" s="825"/>
      <c r="G251" s="825"/>
      <c r="H251" s="825"/>
    </row>
    <row r="252" spans="2:10" ht="14.25" customHeight="1">
      <c r="B252" s="141"/>
      <c r="C252" s="141"/>
      <c r="D252" s="141"/>
      <c r="E252" s="141"/>
      <c r="G252" s="141"/>
      <c r="H252" s="141"/>
    </row>
    <row r="253" spans="2:10" ht="14.25" customHeight="1">
      <c r="B253" s="141"/>
      <c r="C253" s="141"/>
      <c r="D253" s="141"/>
      <c r="E253" s="141"/>
      <c r="G253" s="141"/>
      <c r="H253" s="141"/>
    </row>
    <row r="254" spans="2:10" ht="14.25" customHeight="1"/>
    <row r="255" spans="2:10"/>
    <row r="256" spans="2:10" ht="14.25" customHeight="1"/>
    <row r="257" spans="9:9" ht="14.25" customHeight="1"/>
    <row r="258" spans="9:9" ht="14.25" customHeight="1"/>
    <row r="259" spans="9:9" ht="14.25" customHeight="1"/>
    <row r="262" spans="9:9" ht="32.25" customHeight="1"/>
    <row r="263" spans="9:9" ht="15" customHeight="1">
      <c r="I263" s="141"/>
    </row>
    <row r="264" spans="9:9" ht="15" customHeight="1">
      <c r="I264" s="141"/>
    </row>
    <row r="265" spans="9:9" ht="15" customHeight="1">
      <c r="I265" s="141"/>
    </row>
    <row r="266" spans="9:9" ht="15" customHeight="1">
      <c r="I266" s="141"/>
    </row>
    <row r="267" spans="9:9" ht="15" customHeight="1">
      <c r="I267" s="141"/>
    </row>
  </sheetData>
  <autoFilter ref="F19:H239" xr:uid="{E937501A-BE74-4B69-AE33-1504B4F26655}">
    <filterColumn colId="0">
      <filters>
        <filter val="1"/>
        <filter val="12"/>
        <filter val="19"/>
        <filter val="2"/>
        <filter val="4"/>
        <filter val="50% DEPOSIT:"/>
        <filter val="6"/>
        <filter val="8"/>
        <filter val="CRATING &amp; FREIGHT:"/>
        <filter val="CUSTOM COLOR DISCOUNT:"/>
        <filter val="DISCOUNT EXPIRATION:"/>
        <filter val="DISCOUNT:"/>
        <filter val="ESTIMATED TAXES:"/>
        <filter val="FREIGHT-MATS:"/>
        <filter val="HOLD"/>
        <filter val="PROPOSAL SUBTOTAL:"/>
        <filter val="SUB"/>
        <filter val="TITL"/>
        <filter val="TOTAL INVESTMENT:"/>
        <filter val="UQ-SF"/>
      </filters>
    </filterColumn>
  </autoFilter>
  <sortState xmlns:xlrd2="http://schemas.microsoft.com/office/spreadsheetml/2017/richdata2" ref="C21:C209">
    <sortCondition ref="C21:C209"/>
  </sortState>
  <mergeCells count="24">
    <mergeCell ref="F234:G234"/>
    <mergeCell ref="F8:G8"/>
    <mergeCell ref="F9:G9"/>
    <mergeCell ref="F10:G10"/>
    <mergeCell ref="F11:G11"/>
    <mergeCell ref="F12:G12"/>
    <mergeCell ref="B251:H251"/>
    <mergeCell ref="F248:H248"/>
    <mergeCell ref="F239:G239"/>
    <mergeCell ref="F238:G238"/>
    <mergeCell ref="B235:D239"/>
    <mergeCell ref="F235:G235"/>
    <mergeCell ref="F237:G237"/>
    <mergeCell ref="F236:G236"/>
    <mergeCell ref="G249:H249"/>
    <mergeCell ref="B241:H242"/>
    <mergeCell ref="J13:K13"/>
    <mergeCell ref="F233:G233"/>
    <mergeCell ref="B16:H17"/>
    <mergeCell ref="B15:H15"/>
    <mergeCell ref="F230:G230"/>
    <mergeCell ref="F231:G231"/>
    <mergeCell ref="F232:G232"/>
    <mergeCell ref="B230:E230"/>
  </mergeCells>
  <conditionalFormatting sqref="H231">
    <cfRule type="cellIs" dxfId="106" priority="27" operator="greaterThan">
      <formula>1</formula>
    </cfRule>
  </conditionalFormatting>
  <conditionalFormatting sqref="F231">
    <cfRule type="expression" dxfId="105" priority="23">
      <formula>$H$231&gt;1</formula>
    </cfRule>
  </conditionalFormatting>
  <conditionalFormatting sqref="H233">
    <cfRule type="cellIs" dxfId="104" priority="19" operator="greaterThan">
      <formula>0.01</formula>
    </cfRule>
  </conditionalFormatting>
  <conditionalFormatting sqref="F233:G233">
    <cfRule type="cellIs" dxfId="103" priority="18" operator="greaterThan">
      <formula>0.01</formula>
    </cfRule>
  </conditionalFormatting>
  <conditionalFormatting sqref="F8:G8">
    <cfRule type="containsText" dxfId="102" priority="17" operator="containsText" text="Invoice">
      <formula>NOT(ISERROR(SEARCH("Invoice",F8)))</formula>
    </cfRule>
  </conditionalFormatting>
  <conditionalFormatting sqref="D124:D127 D70:D71 D76 D73 D129:D130 D78:D85 D108:D117 D104 D87:D102">
    <cfRule type="duplicateValues" dxfId="101" priority="89"/>
  </conditionalFormatting>
  <conditionalFormatting sqref="D121:D122">
    <cfRule type="duplicateValues" dxfId="100" priority="5"/>
  </conditionalFormatting>
  <conditionalFormatting sqref="D106">
    <cfRule type="duplicateValues" dxfId="99" priority="3"/>
  </conditionalFormatting>
  <printOptions horizontalCentered="1"/>
  <pageMargins left="0.25" right="0.25" top="0.75" bottom="0.75" header="0.3" footer="0.3"/>
  <pageSetup scale="50" fitToHeight="2" orientation="portrait" horizontalDpi="4294967293" verticalDpi="4294967293" r:id="rId1"/>
  <drawing r:id="rId2"/>
  <extLst>
    <ext xmlns:x14="http://schemas.microsoft.com/office/spreadsheetml/2009/9/main" uri="{78C0D931-6437-407d-A8EE-F0AAD7539E65}">
      <x14:conditionalFormattings>
        <x14:conditionalFormatting xmlns:xm="http://schemas.microsoft.com/office/excel/2006/main">
          <x14:cfRule type="expression" priority="2" id="{3A2F1DD2-9C0C-4348-AA62-605D36703AC8}">
            <xm:f>Discovery!$B$27="No"</xm:f>
            <x14:dxf>
              <fill>
                <patternFill patternType="solid">
                  <bgColor theme="0" tint="-0.34998626667073579"/>
                </patternFill>
              </fill>
            </x14:dxf>
          </x14:cfRule>
          <xm:sqref>D141:D153</xm:sqref>
        </x14:conditionalFormatting>
        <x14:conditionalFormatting xmlns:xm="http://schemas.microsoft.com/office/excel/2006/main">
          <x14:cfRule type="expression" priority="1" id="{07AE792E-CAE2-4FBE-8A9A-4037E9033D0E}">
            <xm:f>Discovery!$B$27="No"</xm:f>
            <x14:dxf>
              <fill>
                <patternFill patternType="solid">
                  <bgColor theme="0" tint="-0.34998626667073579"/>
                </patternFill>
              </fill>
            </x14:dxf>
          </x14:cfRule>
          <xm:sqref>D155:D168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C974-F364-43BE-AD9E-3012D0AFA213}">
  <sheetPr codeName="Sheet8">
    <tabColor theme="4" tint="0.39997558519241921"/>
    <pageSetUpPr fitToPage="1"/>
  </sheetPr>
  <dimension ref="A1:V41"/>
  <sheetViews>
    <sheetView workbookViewId="0">
      <selection activeCell="V1" sqref="V1"/>
    </sheetView>
  </sheetViews>
  <sheetFormatPr defaultRowHeight="15"/>
  <cols>
    <col min="1" max="1" width="27" customWidth="1"/>
    <col min="2" max="2" width="3.85546875" customWidth="1"/>
    <col min="3" max="3" width="17.42578125" bestFit="1" customWidth="1"/>
    <col min="4" max="4" width="15" customWidth="1"/>
    <col min="5" max="5" width="11.85546875" customWidth="1"/>
    <col min="6" max="6" width="12.5703125" customWidth="1"/>
    <col min="7" max="8" width="11.5703125" customWidth="1"/>
    <col min="11" max="11" width="0" hidden="1" customWidth="1"/>
    <col min="12" max="12" width="13" hidden="1" customWidth="1"/>
    <col min="13" max="13" width="17.140625" hidden="1" customWidth="1"/>
    <col min="14" max="19" width="0" hidden="1" customWidth="1"/>
    <col min="21" max="21" width="10.42578125" bestFit="1" customWidth="1"/>
  </cols>
  <sheetData>
    <row r="1" spans="1:22">
      <c r="L1" s="806" t="s">
        <v>1045</v>
      </c>
      <c r="M1" s="806"/>
      <c r="N1" s="806"/>
      <c r="O1" s="806"/>
      <c r="P1" s="806"/>
      <c r="Q1" s="806"/>
      <c r="R1" s="806"/>
      <c r="U1" s="520" t="s">
        <v>1046</v>
      </c>
      <c r="V1" s="485" t="str">
        <f ca="1">A9&amp;" - Financing Options - Amount $"&amp;TRUNC(A17)&amp;" - "&amp;TEXT(E7,"MMDDYYYY")</f>
        <v>Soar Autism Center - South Fort Collins - Financing Options - Amount $18229 - 07222026</v>
      </c>
    </row>
    <row r="2" spans="1:22">
      <c r="F2" s="537"/>
      <c r="G2" s="537"/>
      <c r="H2" s="537"/>
      <c r="L2" s="875" t="s">
        <v>1047</v>
      </c>
      <c r="M2" s="875"/>
      <c r="N2" s="874" t="s">
        <v>1048</v>
      </c>
      <c r="O2" s="874"/>
      <c r="P2" s="874"/>
      <c r="Q2" s="874"/>
      <c r="R2" s="874"/>
    </row>
    <row r="3" spans="1:22">
      <c r="L3" s="876"/>
      <c r="M3" s="876"/>
      <c r="N3" s="501">
        <v>12</v>
      </c>
      <c r="O3" s="501">
        <v>24</v>
      </c>
      <c r="P3" s="501">
        <v>36</v>
      </c>
      <c r="Q3" s="501">
        <v>48</v>
      </c>
      <c r="R3" s="501">
        <v>60</v>
      </c>
    </row>
    <row r="4" spans="1:22">
      <c r="L4" s="131">
        <v>3000</v>
      </c>
      <c r="M4" s="131">
        <v>4999</v>
      </c>
      <c r="N4">
        <v>0</v>
      </c>
      <c r="O4">
        <v>5.6219999999999999E-2</v>
      </c>
      <c r="P4">
        <v>4.088E-2</v>
      </c>
      <c r="Q4">
        <v>3.3340000000000002E-2</v>
      </c>
      <c r="R4">
        <v>0</v>
      </c>
    </row>
    <row r="5" spans="1:22">
      <c r="L5" s="131">
        <v>5000</v>
      </c>
      <c r="M5" s="131">
        <v>9999</v>
      </c>
      <c r="N5">
        <v>9.5899999999999999E-2</v>
      </c>
      <c r="O5">
        <v>5.0160000000000003E-2</v>
      </c>
      <c r="P5">
        <v>3.5139999999999998E-2</v>
      </c>
      <c r="Q5">
        <v>2.7689999999999999E-2</v>
      </c>
      <c r="R5">
        <v>2.324E-2</v>
      </c>
    </row>
    <row r="6" spans="1:22">
      <c r="L6" s="131">
        <v>10000</v>
      </c>
      <c r="M6" s="131">
        <v>14999</v>
      </c>
      <c r="N6">
        <v>9.1560000000000002E-2</v>
      </c>
      <c r="O6">
        <v>4.7530000000000003E-2</v>
      </c>
      <c r="P6">
        <v>3.3009999999999998E-2</v>
      </c>
      <c r="Q6">
        <v>2.5770000000000001E-2</v>
      </c>
      <c r="R6">
        <v>2.1440000000000001E-2</v>
      </c>
    </row>
    <row r="7" spans="1:22">
      <c r="A7" s="46" t="s">
        <v>1049</v>
      </c>
      <c r="D7" s="46" t="s">
        <v>1050</v>
      </c>
      <c r="E7" s="877">
        <f ca="1">TODAY()</f>
        <v>46225</v>
      </c>
      <c r="F7" s="877"/>
      <c r="G7" s="877"/>
      <c r="H7" s="877"/>
      <c r="L7" s="131">
        <v>15000</v>
      </c>
      <c r="M7" s="131">
        <v>24999</v>
      </c>
      <c r="N7">
        <v>9.0700000000000003E-2</v>
      </c>
      <c r="O7">
        <v>4.7079999999999997E-2</v>
      </c>
      <c r="P7">
        <v>3.27E-2</v>
      </c>
      <c r="Q7">
        <v>2.5530000000000001E-2</v>
      </c>
      <c r="R7">
        <v>2.1239999999999998E-2</v>
      </c>
    </row>
    <row r="8" spans="1:22">
      <c r="A8" s="493" t="str">
        <f>ZAPIER!C5</f>
        <v>Tyler Galiotto</v>
      </c>
      <c r="C8" s="46"/>
      <c r="L8" s="131">
        <v>25000</v>
      </c>
      <c r="M8" s="131">
        <v>34999</v>
      </c>
      <c r="N8">
        <v>8.9840000000000003E-2</v>
      </c>
      <c r="O8">
        <v>4.6629999999999998E-2</v>
      </c>
      <c r="P8">
        <v>3.2390000000000002E-2</v>
      </c>
      <c r="Q8">
        <v>2.528E-2</v>
      </c>
      <c r="R8">
        <v>2.104E-2</v>
      </c>
    </row>
    <row r="9" spans="1:22">
      <c r="A9" s="493" t="str">
        <f>ZAPIER!D5</f>
        <v>Soar Autism Center - South Fort Collins</v>
      </c>
      <c r="C9" s="46"/>
      <c r="D9" s="46" t="s">
        <v>1051</v>
      </c>
      <c r="L9" s="131">
        <v>35000</v>
      </c>
      <c r="M9" s="131">
        <v>49999</v>
      </c>
      <c r="N9">
        <v>8.9319999999999997E-2</v>
      </c>
      <c r="O9">
        <v>4.641E-2</v>
      </c>
      <c r="P9">
        <v>3.2230000000000002E-2</v>
      </c>
      <c r="Q9">
        <v>2.5159999999999998E-2</v>
      </c>
      <c r="R9">
        <v>2.094E-2</v>
      </c>
    </row>
    <row r="10" spans="1:22">
      <c r="A10" s="493" t="str">
        <f>ZAPIER!E5</f>
        <v>3801 Automation Way</v>
      </c>
      <c r="D10" s="493" t="s">
        <v>1052</v>
      </c>
      <c r="L10" s="131">
        <v>50000</v>
      </c>
      <c r="M10" s="131">
        <v>74999</v>
      </c>
      <c r="N10">
        <v>8.8889999999999997E-2</v>
      </c>
      <c r="O10">
        <v>4.6080000000000003E-2</v>
      </c>
      <c r="P10">
        <v>3.1969999999999998E-2</v>
      </c>
      <c r="Q10">
        <v>2.494E-2</v>
      </c>
      <c r="R10">
        <v>2.0729999999999998E-2</v>
      </c>
    </row>
    <row r="11" spans="1:22">
      <c r="A11" s="493" t="str">
        <f>ZAPIER!G5&amp;", "&amp;ZAPIER!H5&amp;" "&amp;ZAPIER!I5</f>
        <v>CO, 80525 United States</v>
      </c>
      <c r="D11" s="506" t="s">
        <v>1053</v>
      </c>
      <c r="L11" s="131">
        <v>75000</v>
      </c>
      <c r="M11" s="131">
        <v>99999</v>
      </c>
      <c r="N11">
        <v>8.8459999999999997E-2</v>
      </c>
      <c r="O11">
        <v>4.5859999999999998E-2</v>
      </c>
      <c r="P11">
        <v>3.1820000000000001E-2</v>
      </c>
      <c r="Q11">
        <v>2.4819999999999998E-2</v>
      </c>
      <c r="R11">
        <v>2.0629999999999999E-2</v>
      </c>
    </row>
    <row r="12" spans="1:22">
      <c r="A12" s="506" t="str">
        <f>ZAPIER!K5</f>
        <v/>
      </c>
      <c r="D12" s="507" t="s">
        <v>1054</v>
      </c>
      <c r="L12" s="131">
        <v>100000</v>
      </c>
      <c r="M12" s="131">
        <v>199999</v>
      </c>
      <c r="N12">
        <v>8.8020000000000001E-2</v>
      </c>
      <c r="O12">
        <v>4.5629999999999997E-2</v>
      </c>
      <c r="P12">
        <v>3.1660000000000001E-2</v>
      </c>
      <c r="Q12">
        <v>2.469E-2</v>
      </c>
      <c r="R12">
        <v>2.053E-2</v>
      </c>
    </row>
    <row r="13" spans="1:22">
      <c r="A13" s="493" t="e">
        <f>ZAPIER!#REF!</f>
        <v>#REF!</v>
      </c>
    </row>
    <row r="16" spans="1:22">
      <c r="A16" s="508" t="s">
        <v>1055</v>
      </c>
      <c r="C16" s="509" t="s">
        <v>1056</v>
      </c>
      <c r="D16" s="510">
        <v>12</v>
      </c>
      <c r="E16" s="510">
        <v>24</v>
      </c>
      <c r="F16" s="510">
        <v>36</v>
      </c>
      <c r="G16" s="510">
        <v>48</v>
      </c>
      <c r="H16" s="511">
        <v>60</v>
      </c>
    </row>
    <row r="17" spans="1:8">
      <c r="A17" s="512">
        <f>'Adventure Series Proposal (USA)'!H238</f>
        <v>18229.05</v>
      </c>
      <c r="C17" s="513" t="s">
        <v>1057</v>
      </c>
      <c r="D17" s="514" cm="1">
        <f t="array" ref="D17">_xlfn.IFS($A$17&lt;$L$4,"",$A$17&lt;$L$5,$A$17*N4,$A$17&lt;$L$6,$A$17*N5,$A$17&lt;$L$7,$A$17*N6,$A$17&lt;$L$8,$A$17*N7,$A$17&lt;$L$9,$A$17*N8,$A$17&lt;$L$10,$A$17*N9,$A$17&gt;$M$9,"OVER",TRUE,"")</f>
        <v>1653.3748350000001</v>
      </c>
      <c r="E17" s="514" cm="1">
        <f t="array" ref="E17">_xlfn.IFS($A$17&lt;$L$4,"",$A$17&lt;$L$5,$A$17*O4,$A$17&lt;$L$6,$A$17*O5,$A$17&lt;$L$7,$A$17*O6,$A$17&lt;$L$8,$A$17*O7,$A$17&lt;$L$9,$A$17*O8,$A$17&lt;$L$10,$A$17*O9,$A$17&gt;$M$9,"OVER",TRUE,"")</f>
        <v>858.22367399999996</v>
      </c>
      <c r="F17" s="514" cm="1">
        <f t="array" ref="F17">_xlfn.IFS($A$17&lt;$L$4,"",$A$17&lt;$L$5,$A$17*P4,$A$17&lt;$L$6,$A$17*P5,$A$17&lt;$L$7,$A$17*P6,$A$17&lt;$L$8,$A$17*P7,$A$17&lt;$L$9,$A$17*P8,$A$17&lt;$L$10,$A$17*P9,$A$17&gt;$M$9,"OVER",TRUE,"")</f>
        <v>596.08993499999997</v>
      </c>
      <c r="G17" s="514" cm="1">
        <f t="array" ref="G17">_xlfn.IFS($A$17&lt;$L$4,"",$A$17&lt;$L$5,$A$17*Q4,$A$17&lt;$L$6,$A$17*Q5,$A$17&lt;$L$7,$A$17*Q6,$A$17&lt;$L$8,$A$17*Q7,$A$17&lt;$L$9,$A$17*Q8,$A$17&lt;$L$10,$A$17*Q9,$A$17&gt;$M$9,"OVER",TRUE,"")</f>
        <v>465.38764650000002</v>
      </c>
      <c r="H17" s="515" cm="1">
        <f t="array" ref="H17">_xlfn.IFS($A$17&lt;$L$4,"",$A$17&lt;$L$5,$A$17*R4,$A$17&lt;$L$6,$A$17*R5,$A$17&lt;$L$7,$A$17*R6,$A$17&lt;$L$8,$A$17*R7,$A$17&lt;$L$9,$A$17*R8,$A$17&lt;$L$10,$A$17*R9,$A$17&gt;$M$9,"OVER",TRUE,"")</f>
        <v>387.18502199999995</v>
      </c>
    </row>
    <row r="19" spans="1:8">
      <c r="C19" s="848" t="s">
        <v>1058</v>
      </c>
      <c r="D19" s="848"/>
      <c r="E19" s="848"/>
      <c r="F19" s="848"/>
      <c r="G19" s="848"/>
      <c r="H19" s="848"/>
    </row>
    <row r="20" spans="1:8">
      <c r="C20" s="870" t="s">
        <v>1059</v>
      </c>
      <c r="D20" s="870"/>
      <c r="E20" s="870"/>
      <c r="F20" s="870"/>
      <c r="G20" s="870"/>
      <c r="H20" s="870"/>
    </row>
    <row r="22" spans="1:8">
      <c r="A22" s="871" t="s">
        <v>1060</v>
      </c>
      <c r="B22" s="255"/>
      <c r="C22" s="255"/>
      <c r="D22" s="255"/>
      <c r="E22" s="255"/>
      <c r="F22" s="255"/>
      <c r="G22" s="255"/>
      <c r="H22" s="255"/>
    </row>
    <row r="23" spans="1:8">
      <c r="A23" s="872"/>
    </row>
    <row r="25" spans="1:8" ht="15.75">
      <c r="A25" s="516" t="s">
        <v>1061</v>
      </c>
      <c r="B25" s="255"/>
      <c r="C25" s="255"/>
      <c r="D25" s="255"/>
      <c r="E25" s="255"/>
      <c r="F25" s="255"/>
      <c r="G25" s="255"/>
      <c r="H25" s="255"/>
    </row>
    <row r="26" spans="1:8" ht="30" customHeight="1">
      <c r="A26" s="873" t="s">
        <v>1062</v>
      </c>
      <c r="B26" s="873"/>
      <c r="C26" s="873"/>
      <c r="D26" s="873"/>
      <c r="E26" s="873"/>
      <c r="F26" s="873"/>
      <c r="G26" s="873"/>
      <c r="H26" s="873"/>
    </row>
    <row r="28" spans="1:8" ht="15.75">
      <c r="A28" s="516" t="s">
        <v>1063</v>
      </c>
      <c r="B28" s="255"/>
      <c r="C28" s="255"/>
      <c r="D28" s="255"/>
      <c r="E28" s="255"/>
      <c r="F28" s="255"/>
      <c r="G28" s="255"/>
      <c r="H28" s="255"/>
    </row>
    <row r="29" spans="1:8">
      <c r="A29" s="223" t="s">
        <v>1064</v>
      </c>
      <c r="D29" s="502">
        <f>A17</f>
        <v>18229.05</v>
      </c>
    </row>
    <row r="30" spans="1:8">
      <c r="A30" s="223" t="s">
        <v>1065</v>
      </c>
      <c r="D30" s="502">
        <f>D29</f>
        <v>18229.05</v>
      </c>
    </row>
    <row r="31" spans="1:8">
      <c r="A31" s="223" t="s">
        <v>1066</v>
      </c>
      <c r="D31" s="502">
        <v>0</v>
      </c>
    </row>
    <row r="32" spans="1:8">
      <c r="A32" s="223" t="s">
        <v>1067</v>
      </c>
      <c r="D32" s="502">
        <v>0</v>
      </c>
    </row>
    <row r="33" spans="1:8">
      <c r="A33" s="223" t="s">
        <v>1068</v>
      </c>
      <c r="D33" s="502">
        <f>D30</f>
        <v>18229.05</v>
      </c>
    </row>
    <row r="34" spans="1:8">
      <c r="A34" s="223"/>
      <c r="D34" s="502"/>
    </row>
    <row r="35" spans="1:8">
      <c r="A35" s="518" t="s">
        <v>1069</v>
      </c>
      <c r="B35" s="46"/>
      <c r="C35" s="46"/>
      <c r="D35" s="519">
        <f>D33*0.21</f>
        <v>3828.1004999999996</v>
      </c>
    </row>
    <row r="36" spans="1:8">
      <c r="A36" s="538" t="s">
        <v>1070</v>
      </c>
      <c r="D36" s="585">
        <f>D35/D33</f>
        <v>0.21</v>
      </c>
    </row>
    <row r="37" spans="1:8">
      <c r="A37" s="538"/>
      <c r="D37" s="539"/>
    </row>
    <row r="38" spans="1:8">
      <c r="A38" s="503" t="s">
        <v>1071</v>
      </c>
      <c r="B38" s="504"/>
      <c r="C38" s="504"/>
      <c r="D38" s="505">
        <f>D33-D35</f>
        <v>14400.949499999999</v>
      </c>
    </row>
    <row r="40" spans="1:8" ht="15.75">
      <c r="A40" s="517" t="s">
        <v>1072</v>
      </c>
      <c r="B40" s="255"/>
      <c r="C40" s="255"/>
      <c r="D40" s="255"/>
      <c r="E40" s="255"/>
      <c r="F40" s="255"/>
      <c r="G40" s="255"/>
      <c r="H40" s="255"/>
    </row>
    <row r="41" spans="1:8" ht="30" customHeight="1">
      <c r="A41" s="869" t="s">
        <v>1073</v>
      </c>
      <c r="B41" s="869"/>
      <c r="C41" s="869"/>
      <c r="D41" s="869"/>
      <c r="E41" s="869"/>
      <c r="F41" s="869"/>
      <c r="G41" s="869"/>
      <c r="H41" s="869"/>
    </row>
  </sheetData>
  <mergeCells count="9">
    <mergeCell ref="A41:H41"/>
    <mergeCell ref="L1:R1"/>
    <mergeCell ref="C19:H19"/>
    <mergeCell ref="C20:H20"/>
    <mergeCell ref="A22:A23"/>
    <mergeCell ref="A26:H26"/>
    <mergeCell ref="N2:R2"/>
    <mergeCell ref="L2:M3"/>
    <mergeCell ref="E7:H7"/>
  </mergeCells>
  <hyperlinks>
    <hyperlink ref="D12" r:id="rId1" xr:uid="{C13132A8-E432-4FA7-B5EC-57BF00B06631}"/>
  </hyperlinks>
  <printOptions horizontalCentered="1"/>
  <pageMargins left="0.7" right="0.7" top="0.75" bottom="0.75" header="0.3" footer="0.3"/>
  <pageSetup scale="41"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B1DA-86E7-4540-900C-0F1E91216DDD}">
  <sheetPr codeName="Sheet16">
    <tabColor rgb="FF00B0F0"/>
    <pageSetUpPr fitToPage="1"/>
  </sheetPr>
  <dimension ref="B1:M264"/>
  <sheetViews>
    <sheetView showZeros="0" topLeftCell="A104" zoomScale="90" zoomScaleNormal="90" workbookViewId="0">
      <selection activeCell="K120" sqref="K120"/>
    </sheetView>
  </sheetViews>
  <sheetFormatPr defaultRowHeight="15" customHeight="1"/>
  <cols>
    <col min="1" max="1" width="8.7109375" bestFit="1" customWidth="1"/>
    <col min="2" max="2" width="72.42578125" bestFit="1" customWidth="1"/>
    <col min="3" max="3" width="12.85546875" customWidth="1"/>
    <col min="4" max="4" width="22.7109375" customWidth="1"/>
    <col min="5" max="5" width="22.5703125" customWidth="1"/>
    <col min="6" max="6" width="10" style="141" customWidth="1"/>
    <col min="7" max="7" width="17" customWidth="1"/>
    <col min="8" max="8" width="20.85546875" customWidth="1"/>
    <col min="9" max="9" width="15" customWidth="1"/>
    <col min="10" max="10" width="19.140625" bestFit="1" customWidth="1"/>
    <col min="11" max="11" width="13.5703125" customWidth="1"/>
    <col min="12" max="12" width="13.7109375" bestFit="1" customWidth="1"/>
    <col min="13" max="14" width="9.28515625" bestFit="1" customWidth="1"/>
  </cols>
  <sheetData>
    <row r="1" spans="2:11" ht="21">
      <c r="B1" s="12" t="s">
        <v>938</v>
      </c>
      <c r="C1" s="10"/>
      <c r="D1" s="10"/>
      <c r="E1" s="9"/>
      <c r="F1" s="154"/>
      <c r="G1" s="18"/>
      <c r="H1" s="19"/>
      <c r="J1" s="489" t="s">
        <v>939</v>
      </c>
      <c r="K1" s="490" t="str">
        <f ca="1">B10&amp;" - "&amp;VLOOKUP!F1&amp;" - PSFv73 - "&amp;TEXT(H9,"MMDDYYYY")</f>
        <v>Soar Autism Center - South Fort Collins - SQ-2MBL2T-10x10 - PSFv73 - 07222026</v>
      </c>
    </row>
    <row r="2" spans="2:11">
      <c r="B2" s="23" t="s">
        <v>940</v>
      </c>
      <c r="C2" s="23"/>
      <c r="D2" s="16"/>
      <c r="E2" s="23"/>
      <c r="F2" s="155"/>
      <c r="G2" s="15"/>
      <c r="H2" s="15"/>
      <c r="J2" s="489" t="s">
        <v>941</v>
      </c>
      <c r="K2" s="490" t="str">
        <f ca="1">B10&amp;" - "&amp;VLOOKUP!F1&amp;" - Proposal "&amp;F9&amp;" - "&amp;TEXT(H9,"MMDDYYYY")</f>
        <v>Soar Autism Center - South Fort Collins - SQ-2MBL2T-10x10 - Proposal ADV-SS-260722-001 - 07222026</v>
      </c>
    </row>
    <row r="3" spans="2:11">
      <c r="B3" s="23" t="s">
        <v>942</v>
      </c>
      <c r="C3" s="23"/>
      <c r="D3" s="16"/>
      <c r="E3" s="23"/>
      <c r="F3" s="156"/>
      <c r="G3" s="15"/>
      <c r="H3" s="15"/>
      <c r="K3" s="48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
      <c r="E8" s="15"/>
      <c r="F8" s="836" t="s">
        <v>947</v>
      </c>
      <c r="G8" s="836"/>
      <c r="H8" s="286" t="s">
        <v>948</v>
      </c>
    </row>
    <row r="9" spans="2:11" ht="14.25" customHeight="1">
      <c r="B9" s="16" t="str">
        <f>Discovery!B2</f>
        <v>Tyler Galiotto</v>
      </c>
      <c r="C9" s="23"/>
      <c r="D9" s="23"/>
      <c r="E9" s="15"/>
      <c r="F9" s="837" t="str">
        <f ca="1">"ADV-" &amp;
UPPER(LEFT(B10,1) &amp; RIGHT(B10,1)) &amp;
"-" &amp; TEXT(H9,"yymmdd") &amp;
"-" &amp;
TEXT(
   IF(AND(ISNUMBER(K11),K11&gt;0),
      K11,
      COUNTIFS($B$10:B10,B10,$H$9:H9,H9)
   ),
"000")</f>
        <v>ADV-SS-260722-001</v>
      </c>
      <c r="G9" s="838"/>
      <c r="H9" s="317">
        <f ca="1">TODAY()</f>
        <v>46225</v>
      </c>
    </row>
    <row r="10" spans="2:11">
      <c r="B10" s="16" t="str">
        <f>Discovery!B3</f>
        <v>Soar Autism Center - South Fort Collins</v>
      </c>
      <c r="C10" s="23"/>
      <c r="D10" s="23"/>
      <c r="E10" s="15"/>
      <c r="F10" s="839" t="s">
        <v>949</v>
      </c>
      <c r="G10" s="839"/>
      <c r="H10" s="286" t="s">
        <v>950</v>
      </c>
    </row>
    <row r="11" spans="2:11">
      <c r="B11" s="16" t="str">
        <f>Discovery!B4</f>
        <v>3801 Automation Way</v>
      </c>
      <c r="C11" s="23"/>
      <c r="D11" s="23"/>
      <c r="E11" s="15"/>
      <c r="F11" s="838" t="str">
        <f>"SSG-"&amp;Discovery!B13</f>
        <v>SSG-12552093278</v>
      </c>
      <c r="G11" s="838"/>
      <c r="H11" s="317">
        <f ca="1">H9+6</f>
        <v>46231</v>
      </c>
      <c r="J11" s="520" t="s">
        <v>951</v>
      </c>
      <c r="K11" s="53">
        <v>0</v>
      </c>
    </row>
    <row r="12" spans="2:11">
      <c r="B12" s="16" t="str">
        <f>Discovery!B5&amp;" "&amp;Discovery!B6</f>
        <v>Fort Collins, CO 80525</v>
      </c>
      <c r="C12" s="23"/>
      <c r="D12" s="23"/>
      <c r="E12" s="15"/>
      <c r="F12" s="840" t="s">
        <v>970</v>
      </c>
      <c r="G12" s="840"/>
      <c r="H12" s="316">
        <f>Calcs!I176+100</f>
        <v>1376.8619999999999</v>
      </c>
    </row>
    <row r="13" spans="2:11">
      <c r="B13" s="16" t="str">
        <f>Discovery!B10</f>
        <v>United States</v>
      </c>
      <c r="C13" s="23"/>
      <c r="D13" s="23"/>
      <c r="E13" s="15"/>
      <c r="F13" s="156"/>
      <c r="G13" s="15"/>
      <c r="H13" s="15"/>
      <c r="J13" s="806" t="s">
        <v>971</v>
      </c>
      <c r="K13" s="806"/>
    </row>
    <row r="14" spans="2:11" ht="15" customHeight="1">
      <c r="B14" s="16"/>
      <c r="C14" s="16"/>
      <c r="D14" s="16"/>
      <c r="E14" s="16"/>
      <c r="F14" s="156"/>
      <c r="G14" s="15"/>
      <c r="H14" s="15"/>
      <c r="J14" s="1" t="s">
        <v>972</v>
      </c>
      <c r="K14" s="564">
        <f>H12</f>
        <v>1376.8619999999999</v>
      </c>
    </row>
    <row r="15" spans="2:11" ht="15" customHeight="1">
      <c r="B15" s="815" t="s">
        <v>952</v>
      </c>
      <c r="C15" s="816"/>
      <c r="D15" s="816"/>
      <c r="E15" s="816"/>
      <c r="F15" s="816"/>
      <c r="G15" s="816"/>
      <c r="H15" s="817"/>
      <c r="J15" s="1" t="s">
        <v>973</v>
      </c>
      <c r="K15" s="564">
        <f>K14/2.205</f>
        <v>624.4272108843536</v>
      </c>
    </row>
    <row r="16" spans="2:11">
      <c r="B16" s="809" t="str">
        <f>"Summit Adventure Series "&amp;VLOOKUP!D1&amp;" - "&amp;Discovery!B28&amp;"Design &amp; Fabrication of "&amp;(VLOOKUP!F9)&amp;"' X "&amp;(VLOOKUP!F10)&amp;"' Sensory Gym Structure"&amp;IF(Calcs!F22&gt;0," w Monkey Bars","")&amp;IF(Calcs!F47&gt;0," &amp; Trolley System","")</f>
        <v>Summit Adventure Series SQ-2MBL2T - Design &amp; Fabrication of 10' X 10' Sensory Gym Structure w Monkey Bars &amp; Trolley System</v>
      </c>
      <c r="C16" s="810"/>
      <c r="D16" s="810"/>
      <c r="E16" s="810"/>
      <c r="F16" s="810"/>
      <c r="G16" s="810"/>
      <c r="H16" s="811"/>
    </row>
    <row r="17" spans="2:8">
      <c r="B17" s="812"/>
      <c r="C17" s="813"/>
      <c r="D17" s="813"/>
      <c r="E17" s="813"/>
      <c r="F17" s="813"/>
      <c r="G17" s="813"/>
      <c r="H17" s="814"/>
    </row>
    <row r="18" spans="2:8" ht="15" customHeight="1">
      <c r="B18" s="23"/>
      <c r="C18" s="23"/>
      <c r="D18" s="23"/>
      <c r="E18" s="16"/>
      <c r="F18" s="155"/>
      <c r="G18" s="16"/>
      <c r="H18" s="16"/>
    </row>
    <row r="19" spans="2:8" ht="15" customHeight="1">
      <c r="B19" s="376" t="s">
        <v>175</v>
      </c>
      <c r="C19" s="377"/>
      <c r="D19" s="378" t="s">
        <v>955</v>
      </c>
      <c r="E19" s="378"/>
      <c r="F19" s="379" t="s">
        <v>957</v>
      </c>
      <c r="G19" s="20" t="s">
        <v>974</v>
      </c>
      <c r="H19" s="380" t="s">
        <v>975</v>
      </c>
    </row>
    <row r="20" spans="2:8">
      <c r="B20" s="381" t="str">
        <f>VLOOKUP!F1&amp;" - ITEMIZED"</f>
        <v>SQ-2MBL2T-10x10 - ITEMIZED</v>
      </c>
      <c r="C20" s="382"/>
      <c r="D20" s="383"/>
      <c r="E20" s="384"/>
      <c r="F20" s="385" t="s">
        <v>976</v>
      </c>
      <c r="G20" s="386"/>
      <c r="H20" s="387"/>
    </row>
    <row r="21" spans="2:8">
      <c r="B21" s="388" t="str">
        <f>IFERROR(VLOOKUP(D21,Calcs!B:G,3,FALSE),"")</f>
        <v>Vertical Tall &lt;80 w/Gusset</v>
      </c>
      <c r="C21" s="389"/>
      <c r="D21" t="s">
        <v>178</v>
      </c>
      <c r="E21" s="390"/>
      <c r="F21" s="391">
        <f>IFERROR(VLOOKUP(D21,Calcs!B:F,5,FALSE),"")</f>
        <v>2</v>
      </c>
      <c r="G21" s="342">
        <f>IFERROR(VLOOKUP(D21,Calcs!B:M,11,FALSE),"")</f>
        <v>557.75</v>
      </c>
      <c r="H21" s="343">
        <f>IFERROR(VLOOKUP(D21,Calcs!B:M,12,FALSE),"")</f>
        <v>1115.5</v>
      </c>
    </row>
    <row r="22" spans="2:8" ht="14.25" customHeight="1">
      <c r="B22" s="35" t="str">
        <f>IFERROR(VLOOKUP(D22,Calcs!B:G,3,FALSE),"")</f>
        <v>Vertical Tall &lt;80 w/Gussets, Rungs &amp; Handles</v>
      </c>
      <c r="C22" s="23"/>
      <c r="D22" t="s">
        <v>181</v>
      </c>
      <c r="E22" s="239"/>
      <c r="F22" s="391">
        <f>IFERROR(VLOOKUP(D22,Calcs!B:F,5,FALSE),"")</f>
        <v>2</v>
      </c>
      <c r="G22" s="342">
        <f>IFERROR(VLOOKUP(D22,Calcs!B:M,11,FALSE),"")</f>
        <v>557.75</v>
      </c>
      <c r="H22" s="343">
        <f>IFERROR(VLOOKUP(D22,Calcs!B:M,12,FALSE),"")</f>
        <v>1115.5</v>
      </c>
    </row>
    <row r="23" spans="2:8" ht="14.25" customHeight="1">
      <c r="B23" s="35" t="str">
        <f>IFERROR(VLOOKUP(D23,Calcs!B:G,3,FALSE),"")</f>
        <v/>
      </c>
      <c r="C23" s="23"/>
      <c r="D23" t="s">
        <v>184</v>
      </c>
      <c r="E23" s="239"/>
      <c r="F23" s="391" t="str">
        <f>IFERROR(VLOOKUP(D23,Calcs!B:F,5,FALSE),"")</f>
        <v/>
      </c>
      <c r="G23" s="342" t="str">
        <f>IFERROR(VLOOKUP(D23,Calcs!B:M,11,FALSE),"")</f>
        <v/>
      </c>
      <c r="H23" s="343" t="str">
        <f>IFERROR(VLOOKUP(D23,Calcs!B:M,12,FALSE),"")</f>
        <v/>
      </c>
    </row>
    <row r="24" spans="2:8" ht="14.25" customHeight="1">
      <c r="B24" s="388" t="str">
        <f>IFERROR(VLOOKUP(D24,Calcs!B:G,3,FALSE),"")</f>
        <v>Corner Post &lt;80 2-Way Weld Assembly</v>
      </c>
      <c r="C24" s="389"/>
      <c r="D24" t="s">
        <v>187</v>
      </c>
      <c r="E24" s="390"/>
      <c r="F24" s="391">
        <f>IFERROR(VLOOKUP(D24,Calcs!B:F,5,FALSE),"")</f>
        <v>4</v>
      </c>
      <c r="G24" s="342">
        <f>IFERROR(VLOOKUP(D24,Calcs!B:M,11,FALSE),"")</f>
        <v>175.95</v>
      </c>
      <c r="H24" s="343">
        <f>IFERROR(VLOOKUP(D24,Calcs!B:M,12,FALSE),"")</f>
        <v>703.8</v>
      </c>
    </row>
    <row r="25" spans="2:8" ht="14.25" customHeight="1">
      <c r="B25" s="35" t="str">
        <f>IFERROR(VLOOKUP(D25,Calcs!B:G,3,FALSE),"")</f>
        <v/>
      </c>
      <c r="C25" s="23"/>
      <c r="D25" t="s">
        <v>190</v>
      </c>
      <c r="E25" s="239"/>
      <c r="F25" s="391" t="str">
        <f>IFERROR(VLOOKUP(D25,Calcs!B:F,5,FALSE),"")</f>
        <v/>
      </c>
      <c r="G25" s="342" t="str">
        <f>IFERROR(VLOOKUP(D25,Calcs!B:M,11,FALSE),"")</f>
        <v/>
      </c>
      <c r="H25" s="343" t="str">
        <f>IFERROR(VLOOKUP(D25,Calcs!B:M,12,FALSE),"")</f>
        <v/>
      </c>
    </row>
    <row r="26" spans="2:8" ht="14.25" customHeight="1">
      <c r="B26" s="35" t="str">
        <f>IFERROR(VLOOKUP(D26,Calcs!B:G,3,FALSE),"")</f>
        <v/>
      </c>
      <c r="C26" s="23"/>
      <c r="D26" t="s">
        <v>192</v>
      </c>
      <c r="E26" s="239"/>
      <c r="F26" s="391" t="str">
        <f>IFERROR(VLOOKUP(D26,Calcs!B:F,5,FALSE),"")</f>
        <v/>
      </c>
      <c r="G26" s="342" t="str">
        <f>IFERROR(VLOOKUP(D26,Calcs!B:M,11,FALSE),"")</f>
        <v/>
      </c>
      <c r="H26" s="343" t="str">
        <f>IFERROR(VLOOKUP(D26,Calcs!B:M,12,FALSE),"")</f>
        <v/>
      </c>
    </row>
    <row r="27" spans="2:8" ht="14.25" customHeight="1">
      <c r="B27" s="35" t="str">
        <f>IFERROR(VLOOKUP(D27,Calcs!B:G,3,FALSE),"")</f>
        <v/>
      </c>
      <c r="C27" s="23"/>
      <c r="D27" t="s">
        <v>357</v>
      </c>
      <c r="E27" s="239"/>
      <c r="F27" s="391" t="str">
        <f>IFERROR(VLOOKUP(D27,Calcs!B:F,5,FALSE),"")</f>
        <v/>
      </c>
      <c r="G27" s="342" t="str">
        <f>IFERROR(VLOOKUP(D27,Calcs!B:M,11,FALSE),"")</f>
        <v/>
      </c>
      <c r="H27" s="343" t="str">
        <f>IFERROR(VLOOKUP(D27,Calcs!B:M,12,FALSE),"")</f>
        <v/>
      </c>
    </row>
    <row r="28" spans="2:8" ht="14.25" customHeight="1">
      <c r="B28" s="388" t="str">
        <f>IFERROR(VLOOKUP(D28,Calcs!B:G,3,FALSE),"")</f>
        <v>Mid Span 1-Way Saddle Alt Weld Assembly</v>
      </c>
      <c r="C28" s="389"/>
      <c r="D28" t="s">
        <v>194</v>
      </c>
      <c r="E28" s="390"/>
      <c r="F28" s="391">
        <f>IFERROR(VLOOKUP(D28,Calcs!B:F,5,FALSE),"")</f>
        <v>4</v>
      </c>
      <c r="G28" s="342">
        <f>IFERROR(VLOOKUP(D28,Calcs!B:M,11,FALSE),"")</f>
        <v>105.8</v>
      </c>
      <c r="H28" s="343">
        <f>IFERROR(VLOOKUP(D28,Calcs!B:M,12,FALSE),"")</f>
        <v>423.2</v>
      </c>
    </row>
    <row r="29" spans="2:8" ht="14.25" customHeight="1">
      <c r="B29" s="35" t="str">
        <f>IFERROR(VLOOKUP(D29,Calcs!B:G,3,FALSE),"")</f>
        <v>Ladder Leg Footless</v>
      </c>
      <c r="C29" s="23"/>
      <c r="D29" t="s">
        <v>196</v>
      </c>
      <c r="E29" s="239"/>
      <c r="F29" s="391">
        <f>IFERROR(VLOOKUP(D29,Calcs!B:F,5,FALSE),"")</f>
        <v>2</v>
      </c>
      <c r="G29" s="342">
        <f>IFERROR(VLOOKUP(D29,Calcs!B:M,11,FALSE),"")</f>
        <v>224.25</v>
      </c>
      <c r="H29" s="343">
        <f>IFERROR(VLOOKUP(D29,Calcs!B:M,12,FALSE),"")</f>
        <v>448.5</v>
      </c>
    </row>
    <row r="30" spans="2:8" ht="14.25" customHeight="1">
      <c r="B30" s="35" t="str">
        <f>IFERROR(VLOOKUP(D30,Calcs!B:G,3,FALSE),"")</f>
        <v>Single Leg Inner Ladder Sleeve Footless Weld Assembly</v>
      </c>
      <c r="C30" s="23"/>
      <c r="D30" t="s">
        <v>198</v>
      </c>
      <c r="E30" s="239"/>
      <c r="F30" s="391">
        <f>IFERROR(VLOOKUP(D30,Calcs!B:F,5,FALSE),"")</f>
        <v>2</v>
      </c>
      <c r="G30" s="342">
        <f>IFERROR(VLOOKUP(D30,Calcs!B:M,11,FALSE),"")</f>
        <v>150.65</v>
      </c>
      <c r="H30" s="343">
        <f>IFERROR(VLOOKUP(D30,Calcs!B:M,12,FALSE),"")</f>
        <v>301.3</v>
      </c>
    </row>
    <row r="31" spans="2:8" ht="14.25" customHeight="1">
      <c r="B31" s="35" t="str">
        <f>IFERROR(VLOOKUP(D31,Calcs!B:G,3,FALSE),"")</f>
        <v/>
      </c>
      <c r="C31" s="23"/>
      <c r="D31" t="s">
        <v>200</v>
      </c>
      <c r="E31" s="239"/>
      <c r="F31" s="391" t="str">
        <f>IFERROR(VLOOKUP(D31,Calcs!B:F,5,FALSE),"")</f>
        <v/>
      </c>
      <c r="G31" s="342" t="str">
        <f>IFERROR(VLOOKUP(D31,Calcs!B:M,11,FALSE),"")</f>
        <v/>
      </c>
      <c r="H31" s="343" t="str">
        <f>IFERROR(VLOOKUP(D31,Calcs!B:M,12,FALSE),"")</f>
        <v/>
      </c>
    </row>
    <row r="32" spans="2:8" ht="14.25" customHeight="1">
      <c r="B32" s="35" t="str">
        <f>IFERROR(VLOOKUP(D32,Calcs!B:G,3,FALSE),"")</f>
        <v/>
      </c>
      <c r="C32" s="23"/>
      <c r="D32" t="s">
        <v>201</v>
      </c>
      <c r="E32" s="239"/>
      <c r="F32" s="391" t="str">
        <f>IFERROR(VLOOKUP(D32,Calcs!B:F,5,FALSE),"")</f>
        <v/>
      </c>
      <c r="G32" s="342" t="str">
        <f>IFERROR(VLOOKUP(D32,Calcs!B:M,11,FALSE),"")</f>
        <v/>
      </c>
      <c r="H32" s="343" t="str">
        <f>IFERROR(VLOOKUP(D32,Calcs!B:M,12,FALSE),"")</f>
        <v/>
      </c>
    </row>
    <row r="33" spans="2:8" ht="14.25" customHeight="1">
      <c r="B33" s="388" t="str">
        <f>IFERROR(VLOOKUP(D33,Calcs!B:G,3,FALSE),"")</f>
        <v/>
      </c>
      <c r="C33" s="389"/>
      <c r="D33" t="s">
        <v>205</v>
      </c>
      <c r="E33" s="390"/>
      <c r="F33" s="391" t="str">
        <f>IFERROR(VLOOKUP(D33,Calcs!B:F,5,FALSE),"")</f>
        <v/>
      </c>
      <c r="G33" s="342" t="str">
        <f>IFERROR(VLOOKUP(D33,Calcs!B:M,11,FALSE),"")</f>
        <v/>
      </c>
      <c r="H33" s="343" t="str">
        <f>IFERROR(VLOOKUP(D33,Calcs!B:M,12,FALSE),"")</f>
        <v/>
      </c>
    </row>
    <row r="34" spans="2:8" ht="14.25" customHeight="1">
      <c r="B34" s="388" t="str">
        <f>IFERROR(VLOOKUP(D34,Calcs!B:G,3,FALSE),"")</f>
        <v/>
      </c>
      <c r="C34" s="389"/>
      <c r="D34" t="s">
        <v>207</v>
      </c>
      <c r="E34" s="390"/>
      <c r="F34" s="391" t="str">
        <f>IFERROR(VLOOKUP(D34,Calcs!B:F,5,FALSE),"")</f>
        <v/>
      </c>
      <c r="G34" s="342" t="str">
        <f>IFERROR(VLOOKUP(D34,Calcs!B:M,11,FALSE),"")</f>
        <v/>
      </c>
      <c r="H34" s="343" t="str">
        <f>IFERROR(VLOOKUP(D34,Calcs!B:M,12,FALSE),"")</f>
        <v/>
      </c>
    </row>
    <row r="35" spans="2:8" ht="14.25" customHeight="1">
      <c r="B35" s="35" t="str">
        <f>IFERROR(VLOOKUP(D35,Calcs!B:G,3,FALSE),"")</f>
        <v/>
      </c>
      <c r="C35" s="23"/>
      <c r="D35" t="s">
        <v>210</v>
      </c>
      <c r="E35" s="239"/>
      <c r="F35" s="391" t="str">
        <f>IFERROR(VLOOKUP(D35,Calcs!B:F,5,FALSE),"")</f>
        <v/>
      </c>
      <c r="G35" s="342" t="str">
        <f>IFERROR(VLOOKUP(D35,Calcs!B:M,11,FALSE),"")</f>
        <v/>
      </c>
      <c r="H35" s="343" t="str">
        <f>IFERROR(VLOOKUP(D35,Calcs!B:M,12,FALSE),"")</f>
        <v/>
      </c>
    </row>
    <row r="36" spans="2:8" ht="14.25" customHeight="1">
      <c r="B36" s="388" t="str">
        <f>IFERROR(VLOOKUP(D36,Calcs!B:G,3,FALSE),"")</f>
        <v/>
      </c>
      <c r="C36" s="389"/>
      <c r="D36" t="s">
        <v>213</v>
      </c>
      <c r="E36" s="390"/>
      <c r="F36" s="391" t="str">
        <f>IFERROR(VLOOKUP(D36,Calcs!B:F,5,FALSE),"")</f>
        <v/>
      </c>
      <c r="G36" s="342" t="str">
        <f>IFERROR(VLOOKUP(D36,Calcs!B:M,11,FALSE),"")</f>
        <v/>
      </c>
      <c r="H36" s="343" t="str">
        <f>IFERROR(VLOOKUP(D36,Calcs!B:M,12,FALSE),"")</f>
        <v/>
      </c>
    </row>
    <row r="37" spans="2:8" ht="14.25" customHeight="1">
      <c r="B37" s="35" t="str">
        <f>IFERROR(VLOOKUP(D37,Calcs!B:G,3,FALSE),"")</f>
        <v>10' Half Bay &lt;80 HSS Member w/Splices &amp; HDWE</v>
      </c>
      <c r="C37" s="23"/>
      <c r="D37" t="s">
        <v>216</v>
      </c>
      <c r="E37" s="239"/>
      <c r="F37" s="391">
        <f>IFERROR(VLOOKUP(D37,Calcs!B:F,5,FALSE),"")</f>
        <v>4</v>
      </c>
      <c r="G37" s="342">
        <f>IFERROR(VLOOKUP(D37,Calcs!B:M,11,FALSE),"")</f>
        <v>460</v>
      </c>
      <c r="H37" s="343">
        <f>IFERROR(VLOOKUP(D37,Calcs!B:M,12,FALSE),"")</f>
        <v>1840</v>
      </c>
    </row>
    <row r="38" spans="2:8" ht="14.25" customHeight="1">
      <c r="B38" s="35" t="str">
        <f>IFERROR(VLOOKUP(D38,Calcs!B:G,3,FALSE),"")</f>
        <v>Monkey Bar / Ladder Rungs w/ 4 Threaded Holes</v>
      </c>
      <c r="C38" s="23"/>
      <c r="D38" t="s">
        <v>218</v>
      </c>
      <c r="E38" s="239"/>
      <c r="F38" s="391">
        <f>IFERROR(VLOOKUP(D38,Calcs!B:F,5,FALSE),"")</f>
        <v>19</v>
      </c>
      <c r="G38" s="342">
        <f>IFERROR(VLOOKUP(D38,Calcs!B:M,11,FALSE),"")</f>
        <v>47.15</v>
      </c>
      <c r="H38" s="343">
        <f>IFERROR(VLOOKUP(D38,Calcs!B:M,12,FALSE),"")</f>
        <v>895.85</v>
      </c>
    </row>
    <row r="39" spans="2:8" ht="14.25" customHeight="1">
      <c r="B39" s="35" t="str">
        <f>IFERROR(VLOOKUP(D39,Calcs!B:G,3,FALSE),"")</f>
        <v/>
      </c>
      <c r="C39" s="23"/>
      <c r="D39" t="s">
        <v>220</v>
      </c>
      <c r="E39" s="239"/>
      <c r="F39" s="391" t="str">
        <f>IFERROR(VLOOKUP(D39,Calcs!B:F,5,FALSE),"")</f>
        <v/>
      </c>
      <c r="G39" s="342" t="str">
        <f>IFERROR(VLOOKUP(D39,Calcs!B:M,11,FALSE),"")</f>
        <v/>
      </c>
      <c r="H39" s="343" t="str">
        <f>IFERROR(VLOOKUP(D39,Calcs!B:M,12,FALSE),"")</f>
        <v/>
      </c>
    </row>
    <row r="40" spans="2:8" ht="14.25" customHeight="1">
      <c r="B40" s="35" t="str">
        <f>IFERROR(VLOOKUP(D40,Calcs!B:G,3,FALSE),"")</f>
        <v/>
      </c>
      <c r="C40" s="23"/>
      <c r="D40" t="s">
        <v>223</v>
      </c>
      <c r="E40" s="239"/>
      <c r="F40" s="391" t="str">
        <f>IFERROR(VLOOKUP(D40,Calcs!B:F,5,FALSE),"")</f>
        <v/>
      </c>
      <c r="G40" s="342" t="str">
        <f>IFERROR(VLOOKUP(D40,Calcs!B:M,11,FALSE),"")</f>
        <v/>
      </c>
      <c r="H40" s="343" t="str">
        <f>IFERROR(VLOOKUP(D40,Calcs!B:M,12,FALSE),"")</f>
        <v/>
      </c>
    </row>
    <row r="41" spans="2:8" ht="14.25" customHeight="1">
      <c r="B41" s="35" t="str">
        <f>IFERROR(VLOOKUP(D41,Calcs!B:G,3,FALSE),"")</f>
        <v/>
      </c>
      <c r="C41" s="23"/>
      <c r="D41" t="s">
        <v>229</v>
      </c>
      <c r="E41" s="239"/>
      <c r="F41" s="391" t="str">
        <f>IFERROR(VLOOKUP(D41,Calcs!B:F,5,FALSE),"")</f>
        <v/>
      </c>
      <c r="G41" s="342" t="str">
        <f>IFERROR(VLOOKUP(D41,Calcs!B:M,11,FALSE),"")</f>
        <v/>
      </c>
      <c r="H41" s="343" t="str">
        <f>IFERROR(VLOOKUP(D41,Calcs!B:M,12,FALSE),"")</f>
        <v/>
      </c>
    </row>
    <row r="42" spans="2:8" ht="14.25" customHeight="1">
      <c r="B42" s="388" t="str">
        <f>IFERROR(VLOOKUP(D42,Calcs!B:G,3,FALSE),"")</f>
        <v/>
      </c>
      <c r="C42" s="389"/>
      <c r="D42" t="s">
        <v>232</v>
      </c>
      <c r="E42" s="390"/>
      <c r="F42" s="391" t="str">
        <f>IFERROR(VLOOKUP(D42,Calcs!B:F,5,FALSE),"")</f>
        <v/>
      </c>
      <c r="G42" s="342" t="str">
        <f>IFERROR(VLOOKUP(D42,Calcs!B:M,11,FALSE),"")</f>
        <v/>
      </c>
      <c r="H42" s="343" t="str">
        <f>IFERROR(VLOOKUP(D42,Calcs!B:M,12,FALSE),"")</f>
        <v/>
      </c>
    </row>
    <row r="43" spans="2:8" ht="14.25" customHeight="1">
      <c r="B43" s="388" t="str">
        <f>IFERROR(VLOOKUP(D43,Calcs!B:G,3,FALSE),"")</f>
        <v>10' Half Bay &lt;80 Monkey Bar HSS w/Splices &amp; HDWE</v>
      </c>
      <c r="C43" s="389"/>
      <c r="D43" t="s">
        <v>235</v>
      </c>
      <c r="E43" s="390"/>
      <c r="F43" s="391">
        <f>IFERROR(VLOOKUP(D43,Calcs!B:F,5,FALSE),"")</f>
        <v>2</v>
      </c>
      <c r="G43" s="342">
        <f>IFERROR(VLOOKUP(D43,Calcs!B:M,11,FALSE),"")</f>
        <v>460</v>
      </c>
      <c r="H43" s="343">
        <f>IFERROR(VLOOKUP(D43,Calcs!B:M,12,FALSE),"")</f>
        <v>920</v>
      </c>
    </row>
    <row r="44" spans="2:8" ht="14.25" customHeight="1">
      <c r="B44" s="35" t="str">
        <f>IFERROR(VLOOKUP(D44,Calcs!B:G,3,FALSE),"")</f>
        <v/>
      </c>
      <c r="C44" s="23"/>
      <c r="D44" t="s">
        <v>238</v>
      </c>
      <c r="E44" s="239"/>
      <c r="F44" s="391">
        <f>IFERROR(VLOOKUP(D44,Calcs!B:F,5,FALSE),0)</f>
        <v>0</v>
      </c>
      <c r="G44" s="342" t="str">
        <f>IFERROR(VLOOKUP(D44,Calcs!B:M,11,FALSE),"")</f>
        <v/>
      </c>
      <c r="H44" s="343" t="str">
        <f>IFERROR(VLOOKUP(D44,Calcs!B:M,12,FALSE),"")</f>
        <v/>
      </c>
    </row>
    <row r="45" spans="2:8" ht="14.25" customHeight="1">
      <c r="B45" s="35" t="str">
        <f>IFERROR(VLOOKUP(D45,Calcs!B:G,3,FALSE),"")</f>
        <v/>
      </c>
      <c r="C45" s="23"/>
      <c r="D45" t="s">
        <v>392</v>
      </c>
      <c r="E45" s="239"/>
      <c r="F45" s="391" t="str">
        <f>IFERROR(VLOOKUP(D45,Calcs!B:F,5,FALSE),"")</f>
        <v/>
      </c>
      <c r="G45" s="342" t="str">
        <f>IFERROR(VLOOKUP(D45,Calcs!B:M,11,FALSE),"")</f>
        <v/>
      </c>
      <c r="H45" s="343" t="str">
        <f>IFERROR(VLOOKUP(D45,Calcs!B:M,12,FALSE),"")</f>
        <v/>
      </c>
    </row>
    <row r="46" spans="2:8" ht="14.25" customHeight="1">
      <c r="B46" s="388" t="str">
        <f>IFERROR(VLOOKUP(D46,Calcs!B:G,3,FALSE),"")</f>
        <v>Base Plate Shield</v>
      </c>
      <c r="C46" s="389"/>
      <c r="D46" t="s">
        <v>241</v>
      </c>
      <c r="E46" s="390"/>
      <c r="F46" s="391">
        <f>IFERROR(VLOOKUP(D46,Calcs!B:F,5,FALSE),"")</f>
        <v>8</v>
      </c>
      <c r="G46" s="342">
        <f>IFERROR(VLOOKUP(D46,Calcs!B:M,11,FALSE),"")</f>
        <v>57.5</v>
      </c>
      <c r="H46" s="343">
        <f>IFERROR(VLOOKUP(D46,Calcs!B:M,12,FALSE),"")</f>
        <v>460</v>
      </c>
    </row>
    <row r="47" spans="2:8" ht="14.25" customHeight="1">
      <c r="B47" s="388" t="str">
        <f>IFERROR(VLOOKUP(D47,Calcs!B:G,3,FALSE),"")</f>
        <v/>
      </c>
      <c r="C47" s="389"/>
      <c r="D47" t="s">
        <v>397</v>
      </c>
      <c r="E47" s="390"/>
      <c r="F47" s="391" t="str">
        <f>IFERROR(VLOOKUP(D47,Calcs!B:F,5,FALSE),"")</f>
        <v/>
      </c>
      <c r="G47" s="342" t="str">
        <f>IFERROR(VLOOKUP(D47,Calcs!B:M,11,FALSE),"")</f>
        <v/>
      </c>
      <c r="H47" s="343" t="str">
        <f>IFERROR(VLOOKUP(D47,Calcs!B:M,12,FALSE),"")</f>
        <v/>
      </c>
    </row>
    <row r="48" spans="2:8" ht="14.25" customHeight="1">
      <c r="B48" s="388" t="str">
        <f>IFERROR(VLOOKUP(D48,Calcs!B:G,3,FALSE),"")</f>
        <v/>
      </c>
      <c r="C48" s="389"/>
      <c r="D48" t="s">
        <v>400</v>
      </c>
      <c r="E48" s="390"/>
      <c r="F48" s="391" t="str">
        <f>IFERROR(VLOOKUP(D48,Calcs!B:F,5,FALSE),"")</f>
        <v/>
      </c>
      <c r="G48" s="342" t="str">
        <f>IFERROR(VLOOKUP(D48,Calcs!B:M,11,FALSE),"")</f>
        <v/>
      </c>
      <c r="H48" s="343" t="str">
        <f>IFERROR(VLOOKUP(D48,Calcs!B:M,12,FALSE),"")</f>
        <v/>
      </c>
    </row>
    <row r="49" spans="2:9" ht="14.25" customHeight="1">
      <c r="B49" s="35" t="str">
        <f>IFERROR(VLOOKUP(D49,Calcs!B:G,3,FALSE),"")</f>
        <v/>
      </c>
      <c r="C49" s="23"/>
      <c r="D49" t="s">
        <v>402</v>
      </c>
      <c r="E49" s="239"/>
      <c r="F49" s="391" t="str">
        <f>IFERROR(VLOOKUP(D49,Calcs!B:F,5,FALSE),"")</f>
        <v/>
      </c>
      <c r="G49" s="342" t="str">
        <f>IFERROR(VLOOKUP(D49,Calcs!B:M,11,FALSE),"")</f>
        <v/>
      </c>
      <c r="H49" s="343" t="str">
        <f>IFERROR(VLOOKUP(D49,Calcs!B:M,12,FALSE),"")</f>
        <v/>
      </c>
    </row>
    <row r="50" spans="2:9" ht="14.25" customHeight="1">
      <c r="B50" s="35" t="str">
        <f>IFERROR(VLOOKUP(D50,Calcs!B:G,3,FALSE),"")</f>
        <v/>
      </c>
      <c r="C50" s="23"/>
      <c r="D50" t="s">
        <v>244</v>
      </c>
      <c r="E50" s="239"/>
      <c r="F50" s="391" t="str">
        <f>IFERROR(VLOOKUP(D50,Calcs!B:F,5,FALSE),"")</f>
        <v/>
      </c>
      <c r="G50" s="342" t="str">
        <f>IFERROR(VLOOKUP(D50,Calcs!B:M,11,FALSE),"")</f>
        <v/>
      </c>
      <c r="H50" s="343" t="str">
        <f>IFERROR(VLOOKUP(D50,Calcs!B:M,12,FALSE),"")</f>
        <v/>
      </c>
    </row>
    <row r="51" spans="2:9" ht="14.25" customHeight="1">
      <c r="B51" s="388" t="str">
        <f>IF(VLOOKUP!E14="yES","Professional Design &amp; Rendering Consulting","")</f>
        <v/>
      </c>
      <c r="C51" s="389"/>
      <c r="D51" t="s">
        <v>977</v>
      </c>
      <c r="E51" s="390"/>
      <c r="F51" s="391" t="str">
        <f>IFERROR(VLOOKUP(D51,Calcs!B:F,5,FALSE),"")</f>
        <v/>
      </c>
      <c r="G51" s="342" t="str">
        <f>IFERROR(VLOOKUP(D51,Calcs!B:M,11,FALSE),"")</f>
        <v/>
      </c>
      <c r="H51" s="343" t="str">
        <f>IFERROR(VLOOKUP(D51,Calcs!B:M,12,FALSE),"")</f>
        <v/>
      </c>
    </row>
    <row r="52" spans="2:9" ht="14.25" customHeight="1">
      <c r="B52" s="393" t="s">
        <v>405</v>
      </c>
      <c r="C52" s="394"/>
      <c r="E52" s="395"/>
      <c r="F52" s="396" t="s">
        <v>978</v>
      </c>
      <c r="G52" s="244"/>
      <c r="H52" s="253">
        <f>SUM(H21:H51)</f>
        <v>8223.6500000000015</v>
      </c>
    </row>
    <row r="53" spans="2:9" ht="14.25" customHeight="1">
      <c r="B53" s="393"/>
      <c r="C53" s="394"/>
      <c r="E53" s="395"/>
      <c r="F53" s="396"/>
      <c r="G53" s="244"/>
      <c r="H53" s="253"/>
    </row>
    <row r="54" spans="2:9">
      <c r="B54" s="878" t="s">
        <v>1074</v>
      </c>
      <c r="C54" s="879"/>
      <c r="D54" s="879"/>
      <c r="E54" s="879"/>
      <c r="F54" s="879"/>
      <c r="G54" s="879"/>
      <c r="H54" s="880"/>
    </row>
    <row r="55" spans="2:9" ht="14.25" customHeight="1">
      <c r="B55" s="397"/>
      <c r="C55" s="389"/>
      <c r="D55" s="389"/>
      <c r="E55" s="390"/>
      <c r="F55" s="392" t="s">
        <v>979</v>
      </c>
      <c r="G55" s="243"/>
      <c r="H55" s="265"/>
    </row>
    <row r="56" spans="2:9" ht="14.25" customHeight="1">
      <c r="B56" s="549" t="s">
        <v>980</v>
      </c>
      <c r="C56" s="398"/>
      <c r="D56" s="398"/>
      <c r="E56" s="399"/>
      <c r="F56" s="400" t="s">
        <v>976</v>
      </c>
      <c r="G56" s="245"/>
      <c r="H56" s="266"/>
      <c r="I56" s="131"/>
    </row>
    <row r="57" spans="2:9" ht="14.25" customHeight="1">
      <c r="B57" s="388" t="s">
        <v>981</v>
      </c>
      <c r="C57" s="389"/>
      <c r="D57" s="389"/>
      <c r="E57" s="390"/>
      <c r="F57" s="401" t="s">
        <v>982</v>
      </c>
      <c r="G57" s="246"/>
      <c r="H57" s="265"/>
    </row>
    <row r="58" spans="2:9" ht="14.25" customHeight="1">
      <c r="B58" s="35" t="str">
        <f>IFERROR(VLOOKUP(D58,Calcs!B:G,3,FALSE),"")</f>
        <v>Trolley Bar</v>
      </c>
      <c r="C58" s="23"/>
      <c r="D58" s="23" t="s">
        <v>250</v>
      </c>
      <c r="E58" s="239"/>
      <c r="F58" s="250">
        <f>IFERROR(VLOOKUP(D58,Calcs!B:F,5,FALSE),"")</f>
        <v>1</v>
      </c>
      <c r="G58" s="243">
        <f>IFERROR(VLOOKUP(D58,Calcs!B:M,11,FALSE),"")</f>
        <v>32.200000000000003</v>
      </c>
      <c r="H58" s="251">
        <f>IFERROR(VLOOKUP(D58,Calcs!B:Z,12,FALSE),"")</f>
        <v>32.200000000000003</v>
      </c>
    </row>
    <row r="59" spans="2:9" ht="14.25" customHeight="1">
      <c r="B59" s="35" t="str">
        <f>IFERROR(VLOOKUP(D59,Calcs!B:G,3,FALSE),"")</f>
        <v>Trolley Bar Plate</v>
      </c>
      <c r="C59" s="23"/>
      <c r="D59" s="23" t="s">
        <v>253</v>
      </c>
      <c r="E59" s="239"/>
      <c r="F59" s="250">
        <f>IFERROR(VLOOKUP(D59,Calcs!B:F,5,FALSE),"")</f>
        <v>2</v>
      </c>
      <c r="G59" s="243">
        <f>IFERROR(VLOOKUP(D59,Calcs!B:M,11,FALSE),"")</f>
        <v>27.6</v>
      </c>
      <c r="H59" s="251">
        <f>IFERROR(VLOOKUP(D59,Calcs!B:Z,12,FALSE),"")</f>
        <v>55.2</v>
      </c>
    </row>
    <row r="60" spans="2:9" ht="14.25" customHeight="1">
      <c r="B60" s="35" t="str">
        <f>IFERROR(VLOOKUP(D60,Calcs!B:G,3,FALSE),"")</f>
        <v/>
      </c>
      <c r="C60" s="23"/>
      <c r="D60" s="774" t="s">
        <v>983</v>
      </c>
      <c r="E60" s="239"/>
      <c r="F60" s="250" t="str">
        <f>IFERROR(VLOOKUP(D60,Calcs!B:F,5,FALSE),"")</f>
        <v/>
      </c>
      <c r="G60" s="243" t="str">
        <f>IFERROR(VLOOKUP(D60,Calcs!B:M,11,FALSE),"")</f>
        <v/>
      </c>
      <c r="H60" s="251" t="str">
        <f>IFERROR(VLOOKUP(D60,Calcs!B:Z,12,FALSE),"")</f>
        <v/>
      </c>
    </row>
    <row r="61" spans="2:9" ht="14.25" customHeight="1">
      <c r="B61" s="35" t="str">
        <f>IFERROR(VLOOKUP(D61,Calcs!B:G,3,FALSE),"")</f>
        <v>9' Aluminum Enclosed Rail 550lbs. Max Weight</v>
      </c>
      <c r="C61" s="23"/>
      <c r="D61" s="774" t="s">
        <v>984</v>
      </c>
      <c r="E61" s="239"/>
      <c r="F61" s="250">
        <f>IFERROR(VLOOKUP(D61,Calcs!B:F,5,FALSE),"")</f>
        <v>2</v>
      </c>
      <c r="G61" s="243">
        <f>IFERROR(VLOOKUP(D61,Calcs!B:M,11,FALSE),"")</f>
        <v>445.05</v>
      </c>
      <c r="H61" s="251">
        <f>IFERROR(VLOOKUP(D61,Calcs!B:Z,12,FALSE),"")</f>
        <v>890.1</v>
      </c>
    </row>
    <row r="62" spans="2:9" ht="14.25" customHeight="1">
      <c r="B62" s="35" t="str">
        <f>IFERROR(VLOOKUP(D62,Calcs!B:G,3,FALSE),"")</f>
        <v/>
      </c>
      <c r="C62" s="23"/>
      <c r="D62" s="774" t="s">
        <v>985</v>
      </c>
      <c r="E62" s="239"/>
      <c r="F62" s="250" t="str">
        <f>IFERROR(VLOOKUP(D62,Calcs!B:F,5,FALSE),"")</f>
        <v/>
      </c>
      <c r="G62" s="243" t="str">
        <f>IFERROR(VLOOKUP(D62,Calcs!B:M,11,FALSE),"")</f>
        <v/>
      </c>
      <c r="H62" s="251" t="str">
        <f>IFERROR(VLOOKUP(D62,Calcs!B:Z,12,FALSE),"")</f>
        <v/>
      </c>
    </row>
    <row r="63" spans="2:9" ht="14.25" customHeight="1">
      <c r="B63" s="35" t="str">
        <f>IFERROR(VLOOKUP(D63,Calcs!B:G,3,FALSE),"")</f>
        <v/>
      </c>
      <c r="C63" s="23"/>
      <c r="D63" s="774" t="s">
        <v>986</v>
      </c>
      <c r="E63" s="239"/>
      <c r="F63" s="250" t="str">
        <f>IFERROR(VLOOKUP(D63,Calcs!B:F,5,FALSE),"")</f>
        <v/>
      </c>
      <c r="G63" s="243" t="str">
        <f>IFERROR(VLOOKUP(D63,Calcs!B:M,11,FALSE),"")</f>
        <v/>
      </c>
      <c r="H63" s="251" t="str">
        <f>IFERROR(VLOOKUP(D63,Calcs!B:Z,12,FALSE),"")</f>
        <v/>
      </c>
    </row>
    <row r="64" spans="2:9" ht="14.25" customHeight="1">
      <c r="B64" s="35" t="str">
        <f>IFERROR(VLOOKUP(D64,Calcs!B:G,3,FALSE),"")</f>
        <v>Universal Threaded Rod Hanger</v>
      </c>
      <c r="C64" s="23"/>
      <c r="D64" s="774" t="s">
        <v>987</v>
      </c>
      <c r="E64" s="239"/>
      <c r="F64" s="250">
        <f>IFERROR(VLOOKUP(D64,Calcs!B:F,5,FALSE),"")</f>
        <v>6</v>
      </c>
      <c r="G64" s="243">
        <f>IFERROR(VLOOKUP(D64,Calcs!B:M,11,FALSE),"")</f>
        <v>259.89999999999998</v>
      </c>
      <c r="H64" s="251">
        <f>IFERROR(VLOOKUP(D64,Calcs!B:Z,12,FALSE),"")</f>
        <v>1559.3999999999999</v>
      </c>
    </row>
    <row r="65" spans="2:8" ht="14.25" customHeight="1">
      <c r="B65" s="35" t="str">
        <f>IFERROR(VLOOKUP(D65,Calcs!B:G,3,FALSE),"")</f>
        <v>End Cap for Rail</v>
      </c>
      <c r="C65" s="23"/>
      <c r="D65" s="774" t="s">
        <v>988</v>
      </c>
      <c r="E65" s="239"/>
      <c r="F65" s="250">
        <f>IFERROR(VLOOKUP(D65,Calcs!B:F,5,FALSE),"")</f>
        <v>4</v>
      </c>
      <c r="G65" s="243">
        <f>IFERROR(VLOOKUP(D65,Calcs!B:M,11,FALSE),"")</f>
        <v>131.1</v>
      </c>
      <c r="H65" s="251">
        <f>IFERROR(VLOOKUP(D65,Calcs!B:Z,12,FALSE),"")</f>
        <v>524.4</v>
      </c>
    </row>
    <row r="66" spans="2:8" ht="14.25" customHeight="1">
      <c r="B66" s="35" t="str">
        <f>IFERROR(VLOOKUP(D66,Calcs!B:G,3,FALSE),"")</f>
        <v>Trolley for Rail</v>
      </c>
      <c r="C66" s="23"/>
      <c r="D66" s="774" t="s">
        <v>989</v>
      </c>
      <c r="E66" s="239"/>
      <c r="F66" s="250">
        <f>IFERROR(VLOOKUP(D66,Calcs!B:F,5,FALSE),"")</f>
        <v>2</v>
      </c>
      <c r="G66" s="243">
        <f>IFERROR(VLOOKUP(D66,Calcs!B:M,11,FALSE),"")</f>
        <v>243.8</v>
      </c>
      <c r="H66" s="251">
        <f>IFERROR(VLOOKUP(D66,Calcs!B:Z,12,FALSE),"")</f>
        <v>487.6</v>
      </c>
    </row>
    <row r="67" spans="2:8" ht="14.25" customHeight="1">
      <c r="B67" s="393" t="s">
        <v>405</v>
      </c>
      <c r="C67" s="394"/>
      <c r="D67" s="394"/>
      <c r="E67" s="395"/>
      <c r="F67" s="396" t="s">
        <v>978</v>
      </c>
      <c r="G67" s="247"/>
      <c r="H67" s="253">
        <f>SUM(H58:H66)</f>
        <v>3548.8999999999996</v>
      </c>
    </row>
    <row r="68" spans="2:8" ht="14.25" customHeight="1">
      <c r="B68" s="393"/>
      <c r="C68" s="394"/>
      <c r="D68" s="394"/>
      <c r="E68" s="395"/>
      <c r="F68" s="396"/>
      <c r="G68" s="247"/>
      <c r="H68" s="253"/>
    </row>
    <row r="69" spans="2:8" ht="14.25" customHeight="1">
      <c r="B69" s="881" t="s">
        <v>1075</v>
      </c>
      <c r="C69" s="882"/>
      <c r="D69" s="882"/>
      <c r="E69" s="882"/>
      <c r="F69" s="882"/>
      <c r="G69" s="882"/>
      <c r="H69" s="883"/>
    </row>
    <row r="70" spans="2:8" ht="14.25" customHeight="1">
      <c r="B70" s="393"/>
      <c r="C70" s="394"/>
      <c r="D70" s="394"/>
      <c r="E70" s="395"/>
      <c r="F70" s="396" t="s">
        <v>979</v>
      </c>
      <c r="G70" s="247"/>
      <c r="H70" s="267"/>
    </row>
    <row r="71" spans="2:8" ht="14.25" customHeight="1">
      <c r="B71" s="549" t="s">
        <v>1076</v>
      </c>
      <c r="C71" s="402"/>
      <c r="D71" s="398"/>
      <c r="E71" s="399"/>
      <c r="F71" s="400" t="s">
        <v>976</v>
      </c>
      <c r="G71" s="245"/>
      <c r="H71" s="266"/>
    </row>
    <row r="72" spans="2:8" ht="14.25" customHeight="1">
      <c r="B72" s="388" t="s">
        <v>981</v>
      </c>
      <c r="C72" s="389"/>
      <c r="D72" s="389"/>
      <c r="E72" s="390"/>
      <c r="F72" s="392" t="s">
        <v>991</v>
      </c>
      <c r="G72" s="243"/>
      <c r="H72" s="265"/>
    </row>
    <row r="73" spans="2:8" ht="14.25" customHeight="1">
      <c r="B73" s="560" t="s">
        <v>992</v>
      </c>
      <c r="C73" s="389"/>
      <c r="D73" s="389"/>
      <c r="E73" s="390"/>
      <c r="F73" s="392" t="str">
        <f>IF(SUM(F74:F77)&gt;=1,1,"")</f>
        <v/>
      </c>
      <c r="G73" s="243"/>
      <c r="H73" s="265"/>
    </row>
    <row r="74" spans="2:8" ht="14.25" customHeight="1">
      <c r="B74" s="163" t="str">
        <f>IFERROR(VLOOKUP(D74,Calcs!B:G,3,FALSE),"")</f>
        <v/>
      </c>
      <c r="C74" s="282" t="s">
        <v>993</v>
      </c>
      <c r="D74" s="774" t="s">
        <v>415</v>
      </c>
      <c r="E74" s="241" t="s">
        <v>994</v>
      </c>
      <c r="F74" s="250" t="str">
        <f>IFERROR(VLOOKUP(D74,Calcs!B:F,5,FALSE),"")</f>
        <v/>
      </c>
      <c r="G74" s="465" t="str">
        <f>IFERROR(VLOOKUP(D74,Calcs!B:M,11,FALSE),"")</f>
        <v/>
      </c>
      <c r="H74" s="265" t="str">
        <f>IFERROR(VLOOKUP(D74,Calcs!B:N,12,FALSE),"")</f>
        <v/>
      </c>
    </row>
    <row r="75" spans="2:8" ht="14.25" customHeight="1">
      <c r="B75" s="163" t="str">
        <f>IFERROR(VLOOKUP(D75,Calcs!B:G,3,FALSE),"")</f>
        <v/>
      </c>
      <c r="C75" s="282"/>
      <c r="D75" s="774" t="s">
        <v>424</v>
      </c>
      <c r="E75" s="241" t="s">
        <v>995</v>
      </c>
      <c r="F75" s="250" t="str">
        <f>IFERROR(VLOOKUP(D75,Calcs!B:F,5,FALSE),"")</f>
        <v/>
      </c>
      <c r="G75" s="465" t="str">
        <f>IFERROR(VLOOKUP(D75,Calcs!B:M,11,FALSE),"")</f>
        <v/>
      </c>
      <c r="H75" s="265" t="str">
        <f>IFERROR(VLOOKUP(D75,Calcs!B:N,12,FALSE),"")</f>
        <v/>
      </c>
    </row>
    <row r="76" spans="2:8" ht="14.25" customHeight="1">
      <c r="B76" s="557" t="str">
        <f>IF(F75&gt;0.99,"Passthrough Freight Charge (Required)","")</f>
        <v>Passthrough Freight Charge (Required)</v>
      </c>
      <c r="C76" s="282"/>
      <c r="D76" s="144" t="s">
        <v>996</v>
      </c>
      <c r="E76" s="241" t="s">
        <v>995</v>
      </c>
      <c r="F76" s="250" t="str">
        <f>F75</f>
        <v/>
      </c>
      <c r="G76" s="465"/>
      <c r="H76" s="561" t="str">
        <f>IF(F76=1,"TBD","")</f>
        <v/>
      </c>
    </row>
    <row r="77" spans="2:8" ht="14.25" customHeight="1">
      <c r="B77" s="163" t="str">
        <f>IFERROR(VLOOKUP(D77,Calcs!B:G,3,FALSE),"")</f>
        <v/>
      </c>
      <c r="C77" s="282"/>
      <c r="D77" s="779">
        <v>150045</v>
      </c>
      <c r="E77" s="241"/>
      <c r="F77" s="250" t="str">
        <f>IFERROR(VLOOKUP(D77,Calcs!B:F,5,FALSE),"")</f>
        <v/>
      </c>
      <c r="G77" s="465" t="str">
        <f>IFERROR(VLOOKUP(D77,Calcs!B:M,11,FALSE),"")</f>
        <v/>
      </c>
      <c r="H77" s="265" t="str">
        <f>IFERROR(VLOOKUP(D77,Calcs!B:N,12,FALSE),"")</f>
        <v/>
      </c>
    </row>
    <row r="78" spans="2:8" ht="14.25" customHeight="1">
      <c r="B78" s="557" t="str">
        <f>IF(F74&gt;0.99,"Passthrough Freight Charge (Required)","")</f>
        <v>Passthrough Freight Charge (Required)</v>
      </c>
      <c r="C78" s="282"/>
      <c r="D78" s="144" t="s">
        <v>628</v>
      </c>
      <c r="E78" s="241" t="s">
        <v>995</v>
      </c>
      <c r="F78" s="250" t="str">
        <f>F77</f>
        <v/>
      </c>
      <c r="G78" s="465"/>
      <c r="H78" s="561" t="str">
        <f>IF(F78=1,"TBD","")</f>
        <v/>
      </c>
    </row>
    <row r="79" spans="2:8" ht="14.25" customHeight="1">
      <c r="B79" s="542" t="str">
        <f>IFERROR(VLOOKUP(D79,Calcs!B:G,3,FALSE),"")</f>
        <v/>
      </c>
      <c r="C79" s="282"/>
      <c r="D79" s="774" t="s">
        <v>427</v>
      </c>
      <c r="E79" s="241"/>
      <c r="F79" s="250" t="str">
        <f>IFERROR(VLOOKUP(D79,Calcs!B:F,5,FALSE),"")</f>
        <v/>
      </c>
      <c r="G79" s="465" t="str">
        <f>IFERROR(VLOOKUP(D79,Calcs!B:M,11,FALSE),"")</f>
        <v/>
      </c>
      <c r="H79" s="265" t="str">
        <f>IFERROR(VLOOKUP(D79,Calcs!B:N,12,FALSE),"")</f>
        <v/>
      </c>
    </row>
    <row r="80" spans="2:8" ht="14.25" customHeight="1">
      <c r="B80" s="550" t="s">
        <v>997</v>
      </c>
      <c r="C80" s="403"/>
      <c r="D80" s="74"/>
      <c r="E80" s="404"/>
      <c r="F80" s="392">
        <f>IF(SUM(F81:F83)&gt;=1,1,"")</f>
        <v>1</v>
      </c>
      <c r="G80" s="465"/>
      <c r="H80" s="265"/>
    </row>
    <row r="81" spans="2:8" ht="14.25" customHeight="1">
      <c r="B81" s="163" t="str">
        <f>IFERROR(VLOOKUP(D81,Calcs!B:G,3,FALSE),"")</f>
        <v/>
      </c>
      <c r="C81" s="282" t="s">
        <v>993</v>
      </c>
      <c r="D81" s="774" t="s">
        <v>433</v>
      </c>
      <c r="E81" s="241" t="s">
        <v>994</v>
      </c>
      <c r="F81" s="250" t="str">
        <f>IFERROR(VLOOKUP(D81,Calcs!B:F,5,FALSE),"")</f>
        <v/>
      </c>
      <c r="G81" s="465" t="str">
        <f>IFERROR(VLOOKUP(D81,Calcs!B:M,11,FALSE),"")</f>
        <v/>
      </c>
      <c r="H81" s="265" t="str">
        <f>IFERROR(VLOOKUP(D81,Calcs!B:N,12,FALSE),"")</f>
        <v/>
      </c>
    </row>
    <row r="82" spans="2:8" ht="14.25" customHeight="1">
      <c r="B82" s="163" t="str">
        <f>IFERROR(VLOOKUP(D82,Calcs!B:G,3,FALSE),"")</f>
        <v/>
      </c>
      <c r="C82" s="282"/>
      <c r="D82" s="774" t="s">
        <v>397</v>
      </c>
      <c r="E82" s="241"/>
      <c r="F82" s="250" t="str">
        <f>IFERROR(VLOOKUP(D82,Calcs!B:F,5,FALSE),"")</f>
        <v/>
      </c>
      <c r="G82" s="465" t="str">
        <f>IFERROR(VLOOKUP(D82,Calcs!B:M,11,FALSE),"")</f>
        <v/>
      </c>
      <c r="H82" s="265" t="str">
        <f>IFERROR(VLOOKUP(D82,Calcs!B:N,12,FALSE),"")</f>
        <v/>
      </c>
    </row>
    <row r="83" spans="2:8" ht="14.25" customHeight="1">
      <c r="B83" s="163" t="str">
        <f>IFERROR(VLOOKUP(D83,Calcs!B:G,3,FALSE),"")</f>
        <v>Adventure Climbing Wall - Wall Mounted-Metal Studs (Includes Climbing Holds)</v>
      </c>
      <c r="C83" s="282"/>
      <c r="D83" s="774" t="s">
        <v>435</v>
      </c>
      <c r="E83" s="241" t="s">
        <v>994</v>
      </c>
      <c r="F83" s="250">
        <f>IFERROR(VLOOKUP(D83,Calcs!B:F,5,FALSE),"")</f>
        <v>1</v>
      </c>
      <c r="G83" s="465">
        <f>IFERROR(VLOOKUP(D83,Calcs!B:M,11,FALSE),"")</f>
        <v>2442.6</v>
      </c>
      <c r="H83" s="265">
        <f>IFERROR(VLOOKUP(D83,Calcs!B:N,12,FALSE),"")</f>
        <v>2442.6</v>
      </c>
    </row>
    <row r="84" spans="2:8" ht="14.25" customHeight="1">
      <c r="B84" s="550" t="s">
        <v>998</v>
      </c>
      <c r="C84" s="282"/>
      <c r="D84" s="774"/>
      <c r="E84" s="241"/>
      <c r="F84" s="546" t="str">
        <f>IF(SUM(F85)&gt;=1,1,"")</f>
        <v/>
      </c>
      <c r="G84" s="465"/>
      <c r="H84" s="265"/>
    </row>
    <row r="85" spans="2:8" ht="14.25" customHeight="1">
      <c r="B85" s="163" t="str">
        <f>IFERROR(VLOOKUP(D85,Calcs!B:G,3,FALSE),"")</f>
        <v/>
      </c>
      <c r="C85" s="282"/>
      <c r="D85" s="774" t="s">
        <v>402</v>
      </c>
      <c r="E85" s="241"/>
      <c r="F85" s="250" t="str">
        <f>IFERROR(VLOOKUP(D85,Calcs!B:F,5,FALSE),"")</f>
        <v/>
      </c>
      <c r="G85" s="465" t="str">
        <f>IFERROR(VLOOKUP(D85,Calcs!B:M,11,FALSE),"")</f>
        <v/>
      </c>
      <c r="H85" s="265" t="str">
        <f>IFERROR(VLOOKUP(D85,Calcs!B:N,12,FALSE),"")</f>
        <v/>
      </c>
    </row>
    <row r="86" spans="2:8" ht="14.25" customHeight="1">
      <c r="B86" s="151" t="str">
        <f>IFERROR(VLOOKUP(D86,Calcs!B:G,3,FALSE),"")</f>
        <v/>
      </c>
      <c r="C86" s="282"/>
      <c r="D86" s="774" t="s">
        <v>445</v>
      </c>
      <c r="E86" s="241"/>
      <c r="F86" s="250" t="str">
        <f>IFERROR(VLOOKUP(D86,Calcs!B:F,5,FALSE),"")</f>
        <v/>
      </c>
      <c r="G86" s="465" t="str">
        <f>IFERROR(VLOOKUP(D86,Calcs!B:M,11,FALSE),"")</f>
        <v/>
      </c>
      <c r="H86" s="265" t="str">
        <f>IFERROR(VLOOKUP(D86,Calcs!B:N,12,FALSE),"")</f>
        <v/>
      </c>
    </row>
    <row r="87" spans="2:8" ht="14.25" customHeight="1">
      <c r="B87" s="151" t="str">
        <f>IFERROR(VLOOKUP(D87,Calcs!B:G,3,FALSE),"")</f>
        <v/>
      </c>
      <c r="C87" s="282"/>
      <c r="D87" s="774" t="s">
        <v>437</v>
      </c>
      <c r="E87" s="241"/>
      <c r="F87" s="250" t="str">
        <f>IFERROR(VLOOKUP(D87,Calcs!B:F,5,FALSE),"")</f>
        <v/>
      </c>
      <c r="G87" s="465" t="str">
        <f>IFERROR(VLOOKUP(D87,Calcs!B:M,11,FALSE),"")</f>
        <v/>
      </c>
      <c r="H87" s="265" t="str">
        <f>IFERROR(VLOOKUP(D87,Calcs!B:N,12,FALSE),"")</f>
        <v/>
      </c>
    </row>
    <row r="88" spans="2:8" ht="14.25" customHeight="1">
      <c r="B88" s="163" t="str">
        <f>IF(B87="adjustable Indoor Climbing Wall","Adjustable Indoor Climbing Wall - Freight Charge","")</f>
        <v/>
      </c>
      <c r="C88" s="282"/>
      <c r="D88" s="774" t="s">
        <v>999</v>
      </c>
      <c r="E88" s="241"/>
      <c r="F88" s="250" t="str">
        <f>IF(F87=1,1,"")</f>
        <v/>
      </c>
      <c r="G88" s="465" t="str">
        <f>IFERROR(VLOOKUP(D88,Calcs!B:M,11,FALSE),"")</f>
        <v/>
      </c>
      <c r="H88" s="265" t="str">
        <f>IFERROR(VLOOKUP(D88,Calcs!B:N,12,FALSE),"")</f>
        <v/>
      </c>
    </row>
    <row r="89" spans="2:8" ht="14.25" customHeight="1">
      <c r="B89" s="151" t="str">
        <f>IFERROR(VLOOKUP(D89,Calcs!B:G,3,FALSE),"")</f>
        <v/>
      </c>
      <c r="C89" s="282" t="s">
        <v>993</v>
      </c>
      <c r="D89" s="774" t="s">
        <v>429</v>
      </c>
      <c r="E89" s="241" t="s">
        <v>994</v>
      </c>
      <c r="F89" s="250" t="str">
        <f>IFERROR(VLOOKUP(D89,Calcs!B:F,5,FALSE),"")</f>
        <v/>
      </c>
      <c r="G89" s="465" t="str">
        <f>IFERROR(VLOOKUP(D89,Calcs!B:M,11,FALSE),"")</f>
        <v/>
      </c>
      <c r="H89" s="265" t="str">
        <f>IFERROR(VLOOKUP(D89,Calcs!B:N,12,FALSE),"")</f>
        <v/>
      </c>
    </row>
    <row r="90" spans="2:8" ht="14.25" customHeight="1">
      <c r="B90" s="151" t="str">
        <f>IFERROR(VLOOKUP(D90,Calcs!B:G,3,FALSE),"")</f>
        <v/>
      </c>
      <c r="C90" s="23"/>
      <c r="D90" t="s">
        <v>431</v>
      </c>
      <c r="E90" s="241" t="s">
        <v>994</v>
      </c>
      <c r="F90" s="250" t="str">
        <f>IFERROR(VLOOKUP(D90,Calcs!B:F,5,FALSE),"")</f>
        <v/>
      </c>
      <c r="G90" s="465" t="str">
        <f>IFERROR(VLOOKUP(D90,Calcs!B:M,11,FALSE),"")</f>
        <v/>
      </c>
      <c r="H90" s="265" t="str">
        <f>IFERROR(VLOOKUP(D90,Calcs!B:N,12,FALSE),"")</f>
        <v/>
      </c>
    </row>
    <row r="91" spans="2:8" ht="14.25" customHeight="1">
      <c r="B91" s="151" t="str">
        <f>IFERROR(VLOOKUP(D91,Calcs!B:G,3,FALSE),"")</f>
        <v/>
      </c>
      <c r="C91" s="282" t="s">
        <v>993</v>
      </c>
      <c r="D91" t="s">
        <v>561</v>
      </c>
      <c r="E91" s="241"/>
      <c r="F91" s="250" t="str">
        <f>IFERROR(VLOOKUP(D91,Calcs!B:F,5,FALSE),"")</f>
        <v/>
      </c>
      <c r="G91" s="465" t="str">
        <f>IFERROR(VLOOKUP(D91,Calcs!B:M,11,FALSE),"")</f>
        <v/>
      </c>
      <c r="H91" s="265" t="str">
        <f>IFERROR(VLOOKUP(D91,Calcs!B:N,12,FALSE),"")</f>
        <v/>
      </c>
    </row>
    <row r="92" spans="2:8" ht="14.25" customHeight="1">
      <c r="B92" s="151" t="str">
        <f>IFERROR(VLOOKUP(D92,Calcs!B:G,3,FALSE),"")</f>
        <v/>
      </c>
      <c r="C92" s="282" t="s">
        <v>993</v>
      </c>
      <c r="D92" t="s">
        <v>565</v>
      </c>
      <c r="E92" s="241"/>
      <c r="F92" s="250" t="str">
        <f>IFERROR(VLOOKUP(D92,Calcs!B:F,5,FALSE),"")</f>
        <v/>
      </c>
      <c r="G92" s="465" t="str">
        <f>IFERROR(VLOOKUP(D92,Calcs!B:M,11,FALSE),"")</f>
        <v/>
      </c>
      <c r="H92" s="265" t="str">
        <f>IFERROR(VLOOKUP(D92,Calcs!B:N,12,FALSE),"")</f>
        <v/>
      </c>
    </row>
    <row r="93" spans="2:8" ht="14.25" customHeight="1">
      <c r="B93" s="151" t="str">
        <f>IFERROR(VLOOKUP(D93,Calcs!B:G,3,FALSE),"")</f>
        <v/>
      </c>
      <c r="C93" s="282" t="s">
        <v>993</v>
      </c>
      <c r="D93" t="s">
        <v>567</v>
      </c>
      <c r="E93" s="241"/>
      <c r="F93" s="250" t="str">
        <f>IFERROR(VLOOKUP(D93,Calcs!B:F,5,FALSE),"")</f>
        <v/>
      </c>
      <c r="G93" s="465" t="str">
        <f>IFERROR(VLOOKUP(D93,Calcs!B:M,11,FALSE),"")</f>
        <v/>
      </c>
      <c r="H93" s="265" t="str">
        <f>IFERROR(VLOOKUP(D93,Calcs!B:N,12,FALSE),"")</f>
        <v/>
      </c>
    </row>
    <row r="94" spans="2:8" ht="14.25" customHeight="1">
      <c r="B94" s="151" t="str">
        <f>IFERROR(VLOOKUP(D94,Calcs!B:G,3,FALSE),"")</f>
        <v/>
      </c>
      <c r="C94" s="282" t="s">
        <v>993</v>
      </c>
      <c r="D94" t="s">
        <v>569</v>
      </c>
      <c r="E94" s="241"/>
      <c r="F94" s="250" t="str">
        <f>IFERROR(VLOOKUP(D94,Calcs!B:F,5,FALSE),"")</f>
        <v/>
      </c>
      <c r="G94" s="465" t="str">
        <f>IFERROR(VLOOKUP(D94,Calcs!B:M,11,FALSE),"")</f>
        <v/>
      </c>
      <c r="H94" s="265" t="str">
        <f>IFERROR(VLOOKUP(D94,Calcs!B:N,12,FALSE),"")</f>
        <v/>
      </c>
    </row>
    <row r="95" spans="2:8" ht="14.25" customHeight="1">
      <c r="B95" s="151" t="str">
        <f>IFERROR(VLOOKUP(D95,Calcs!B:G,3,FALSE),"")</f>
        <v/>
      </c>
      <c r="C95" s="282" t="s">
        <v>993</v>
      </c>
      <c r="D95" t="s">
        <v>1001</v>
      </c>
      <c r="E95" s="241"/>
      <c r="F95" s="250" t="str">
        <f>IFERROR(VLOOKUP(D95,Calcs!B:F,5,FALSE),"")</f>
        <v/>
      </c>
      <c r="G95" s="465" t="str">
        <f>IFERROR(VLOOKUP(D95,Calcs!B:M,11,FALSE),"")</f>
        <v/>
      </c>
      <c r="H95" s="265" t="str">
        <f>IFERROR(VLOOKUP(D95,Calcs!B:N,12,FALSE),"")</f>
        <v/>
      </c>
    </row>
    <row r="96" spans="2:8" ht="14.25" customHeight="1">
      <c r="B96" s="151" t="str">
        <f>IFERROR(VLOOKUP(D96,Calcs!B:G,3,FALSE),"")</f>
        <v/>
      </c>
      <c r="C96" s="282" t="s">
        <v>993</v>
      </c>
      <c r="D96" t="s">
        <v>583</v>
      </c>
      <c r="E96" s="241"/>
      <c r="F96" s="250" t="str">
        <f>IFERROR(VLOOKUP(D96,Calcs!B:F,5,FALSE),"")</f>
        <v/>
      </c>
      <c r="G96" s="465" t="str">
        <f>IFERROR(VLOOKUP(D96,Calcs!B:M,11,FALSE),"")</f>
        <v/>
      </c>
      <c r="H96" s="265" t="str">
        <f>IFERROR(VLOOKUP(D96,Calcs!B:N,12,FALSE),"")</f>
        <v/>
      </c>
    </row>
    <row r="97" spans="2:8" ht="14.25" customHeight="1">
      <c r="B97" s="151" t="str">
        <f>IFERROR(VLOOKUP(D97,Calcs!B:G,3,FALSE),"")</f>
        <v/>
      </c>
      <c r="C97" s="282" t="s">
        <v>993</v>
      </c>
      <c r="D97" s="354" t="s">
        <v>589</v>
      </c>
      <c r="E97" s="241" t="s">
        <v>994</v>
      </c>
      <c r="F97" s="250" t="str">
        <f>IFERROR(VLOOKUP(D97,Calcs!B:F,5,FALSE),"")</f>
        <v/>
      </c>
      <c r="G97" s="465" t="str">
        <f>IFERROR(VLOOKUP(D97,Calcs!B:M,11,FALSE),"")</f>
        <v/>
      </c>
      <c r="H97" s="265" t="str">
        <f>IFERROR(VLOOKUP(D97,Calcs!B:N,12,FALSE),"")</f>
        <v/>
      </c>
    </row>
    <row r="98" spans="2:8" ht="14.25" customHeight="1">
      <c r="B98" s="151" t="str">
        <f>IFERROR(VLOOKUP(D98,Calcs!B:G,3,FALSE),"")</f>
        <v/>
      </c>
      <c r="C98" s="282"/>
      <c r="D98" s="355" t="s">
        <v>1002</v>
      </c>
      <c r="E98" s="241" t="s">
        <v>1003</v>
      </c>
      <c r="F98" s="250" t="str">
        <f>IFERROR(VLOOKUP(D98,Calcs!B:F,5,FALSE),"")</f>
        <v/>
      </c>
      <c r="G98" s="465" t="str">
        <f>IFERROR(VLOOKUP(D98,Calcs!B:M,11,FALSE),"")</f>
        <v/>
      </c>
      <c r="H98" s="265" t="str">
        <f>IFERROR(VLOOKUP(D98,Calcs!B:N,12,FALSE),"")</f>
        <v/>
      </c>
    </row>
    <row r="99" spans="2:8" ht="14.25" customHeight="1">
      <c r="B99" s="151"/>
      <c r="C99" s="282"/>
      <c r="D99" s="354" t="s">
        <v>1004</v>
      </c>
      <c r="E99" s="241" t="s">
        <v>994</v>
      </c>
      <c r="F99" s="250" t="str">
        <f>IFERROR(VLOOKUP(D99,Calcs!B:F,5,FALSE),"")</f>
        <v/>
      </c>
      <c r="G99" s="465" t="str">
        <f>IFERROR(VLOOKUP(D99,Calcs!B:M,11,FALSE),"")</f>
        <v/>
      </c>
      <c r="H99" s="265" t="str">
        <f>IFERROR(VLOOKUP(D99,Calcs!B:N,12,FALSE),"")</f>
        <v/>
      </c>
    </row>
    <row r="100" spans="2:8" ht="14.25" customHeight="1">
      <c r="B100" s="151"/>
      <c r="C100" s="282"/>
      <c r="D100" s="354" t="s">
        <v>1005</v>
      </c>
      <c r="E100" s="241" t="s">
        <v>994</v>
      </c>
      <c r="F100" s="250" t="str">
        <f>IFERROR(VLOOKUP(D100,Calcs!B:F,5,FALSE),"")</f>
        <v/>
      </c>
      <c r="G100" s="465" t="str">
        <f>IFERROR(VLOOKUP(D100,Calcs!B:M,11,FALSE),"")</f>
        <v/>
      </c>
      <c r="H100" s="265" t="str">
        <f>IFERROR(VLOOKUP(D100,Calcs!B:N,12,FALSE),"")</f>
        <v/>
      </c>
    </row>
    <row r="101" spans="2:8" ht="14.25" customHeight="1">
      <c r="B101" s="151"/>
      <c r="C101" s="282"/>
      <c r="D101" s="354" t="s">
        <v>1006</v>
      </c>
      <c r="E101" s="241" t="s">
        <v>994</v>
      </c>
      <c r="F101" s="250" t="str">
        <f>IFERROR(VLOOKUP(D101,Calcs!B:F,5,FALSE),"")</f>
        <v/>
      </c>
      <c r="G101" s="465" t="str">
        <f>IFERROR(VLOOKUP(D101,Calcs!B:M,11,FALSE),"")</f>
        <v/>
      </c>
      <c r="H101" s="265" t="str">
        <f>IFERROR(VLOOKUP(D101,Calcs!B:N,12,FALSE),"")</f>
        <v/>
      </c>
    </row>
    <row r="102" spans="2:8" ht="14.25" customHeight="1">
      <c r="B102" s="151" t="str">
        <f>IFERROR(VLOOKUP(D102,Calcs!B:G,3,FALSE),"")</f>
        <v/>
      </c>
      <c r="C102" s="282" t="s">
        <v>993</v>
      </c>
      <c r="D102" s="148">
        <v>120040</v>
      </c>
      <c r="E102" s="241"/>
      <c r="F102" s="250" t="str">
        <f>IFERROR(VLOOKUP(D102,Calcs!B:F,5,FALSE),"")</f>
        <v/>
      </c>
      <c r="G102" s="465" t="str">
        <f>IFERROR(VLOOKUP(D102,Calcs!B:M,11,FALSE),"")</f>
        <v/>
      </c>
      <c r="H102" s="265" t="str">
        <f>IFERROR(VLOOKUP(D102,Calcs!B:N,12,FALSE),"")</f>
        <v/>
      </c>
    </row>
    <row r="103" spans="2:8" ht="14.25" customHeight="1">
      <c r="B103" s="151" t="str">
        <f>IFERROR(VLOOKUP(D103,Calcs!B:G,3,FALSE),"")</f>
        <v/>
      </c>
      <c r="C103" s="282" t="s">
        <v>993</v>
      </c>
      <c r="D103" s="148">
        <v>120050</v>
      </c>
      <c r="E103" s="241" t="s">
        <v>994</v>
      </c>
      <c r="F103" s="250" t="str">
        <f>IFERROR(VLOOKUP(D103,Calcs!B:F,5,FALSE),"")</f>
        <v/>
      </c>
      <c r="G103" s="465" t="str">
        <f>IFERROR(VLOOKUP(D103,Calcs!B:M,11,FALSE),"")</f>
        <v/>
      </c>
      <c r="H103" s="265" t="str">
        <f>IFERROR(VLOOKUP(D103,Calcs!B:N,12,FALSE),"")</f>
        <v/>
      </c>
    </row>
    <row r="104" spans="2:8" ht="14.25" customHeight="1">
      <c r="B104" s="151" t="str">
        <f>IFERROR(VLOOKUP(D104,Calcs!B:G,3,FALSE),"")</f>
        <v/>
      </c>
      <c r="C104" s="282"/>
      <c r="D104" s="148">
        <v>120077</v>
      </c>
      <c r="E104" s="241"/>
      <c r="F104" s="250" t="str">
        <f>IFERROR(VLOOKUP(D104,Calcs!B:F,5,FALSE),"")</f>
        <v/>
      </c>
      <c r="G104" s="465" t="str">
        <f>IFERROR(VLOOKUP(D104,Calcs!B:M,11,FALSE),"")</f>
        <v/>
      </c>
      <c r="H104" s="265" t="str">
        <f>IFERROR(VLOOKUP(D104,Calcs!B:N,12,FALSE),"")</f>
        <v/>
      </c>
    </row>
    <row r="105" spans="2:8" ht="14.25" customHeight="1">
      <c r="B105" s="151" t="str">
        <f>IFERROR(VLOOKUP(D105,Calcs!B:G,3,FALSE),"")</f>
        <v/>
      </c>
      <c r="C105" s="282"/>
      <c r="D105" s="148" t="s">
        <v>571</v>
      </c>
      <c r="E105" s="241"/>
      <c r="F105" s="250" t="str">
        <f>IFERROR(VLOOKUP(D105,Calcs!B:F,5,FALSE),"")</f>
        <v/>
      </c>
      <c r="G105" s="465" t="str">
        <f>IFERROR(VLOOKUP(D105,Calcs!B:M,11,FALSE),"")</f>
        <v/>
      </c>
      <c r="H105" s="265" t="str">
        <f>IFERROR(VLOOKUP(D105,Calcs!B:N,12,FALSE),"")</f>
        <v/>
      </c>
    </row>
    <row r="106" spans="2:8" ht="14.25" customHeight="1">
      <c r="B106" s="151" t="str">
        <f>IFERROR(VLOOKUP(D106,Calcs!B:G,3,FALSE),"")</f>
        <v/>
      </c>
      <c r="C106" s="282"/>
      <c r="D106" s="354" t="s">
        <v>1007</v>
      </c>
      <c r="E106" s="241" t="s">
        <v>994</v>
      </c>
      <c r="F106" s="250" t="str">
        <f>IFERROR(VLOOKUP(D106,Calcs!B:F,5,FALSE),"")</f>
        <v/>
      </c>
      <c r="G106" s="465" t="str">
        <f>IFERROR(VLOOKUP(D106,Calcs!B:M,11,FALSE),"")</f>
        <v/>
      </c>
      <c r="H106" s="265" t="str">
        <f>IFERROR(VLOOKUP(D106,Calcs!B:N,12,FALSE),"")</f>
        <v/>
      </c>
    </row>
    <row r="107" spans="2:8" ht="14.25" customHeight="1">
      <c r="B107" s="151" t="str">
        <f>IFERROR(VLOOKUP(D107,Calcs!B:G,3,FALSE),"")</f>
        <v/>
      </c>
      <c r="C107" s="282"/>
      <c r="D107" s="354" t="s">
        <v>604</v>
      </c>
      <c r="E107" s="241" t="s">
        <v>1008</v>
      </c>
      <c r="F107" s="250" t="str">
        <f>IFERROR(VLOOKUP(D107,Calcs!B:F,5,FALSE),"")</f>
        <v/>
      </c>
      <c r="G107" s="465" t="str">
        <f>IFERROR(VLOOKUP(D107,Calcs!B:M,11,FALSE),"")</f>
        <v/>
      </c>
      <c r="H107" s="265" t="str">
        <f>IFERROR(VLOOKUP(D107,Calcs!B:N,12,FALSE),"")</f>
        <v/>
      </c>
    </row>
    <row r="108" spans="2:8" ht="14.25" customHeight="1">
      <c r="B108" s="151" t="str">
        <f>IFERROR(VLOOKUP(D108,Calcs!B:G,3,FALSE),"")</f>
        <v/>
      </c>
      <c r="C108" s="282"/>
      <c r="D108" s="354" t="s">
        <v>607</v>
      </c>
      <c r="E108" s="241"/>
      <c r="F108" s="250" t="str">
        <f>IFERROR(VLOOKUP(D108,Calcs!B:F,5,FALSE),"")</f>
        <v/>
      </c>
      <c r="G108" s="465" t="str">
        <f>IFERROR(VLOOKUP(D108,Calcs!B:M,11,FALSE),"")</f>
        <v/>
      </c>
      <c r="H108" s="265" t="str">
        <f>IFERROR(VLOOKUP(D108,Calcs!B:N,12,FALSE),"")</f>
        <v/>
      </c>
    </row>
    <row r="109" spans="2:8" ht="14.25" customHeight="1">
      <c r="B109" s="151" t="str">
        <f>IFERROR(VLOOKUP(D109,Calcs!B:G,3,FALSE),"")</f>
        <v/>
      </c>
      <c r="C109" s="282"/>
      <c r="D109" s="354" t="s">
        <v>559</v>
      </c>
      <c r="E109" s="241"/>
      <c r="F109" s="250" t="str">
        <f>IFERROR(VLOOKUP(D109,Calcs!B:F,5,FALSE),"")</f>
        <v/>
      </c>
      <c r="G109" s="465" t="str">
        <f>IFERROR(VLOOKUP(D109,Calcs!B:M,11,FALSE),"")</f>
        <v/>
      </c>
      <c r="H109" s="265" t="str">
        <f>IFERROR(VLOOKUP(D109,Calcs!B:N,12,FALSE),"")</f>
        <v/>
      </c>
    </row>
    <row r="110" spans="2:8" ht="14.25" customHeight="1">
      <c r="B110" s="151" t="str">
        <f>IFERROR(VLOOKUP(D110,Calcs!B:G,3,FALSE),"")</f>
        <v/>
      </c>
      <c r="C110" s="282"/>
      <c r="D110" t="s">
        <v>585</v>
      </c>
      <c r="E110" s="241" t="s">
        <v>994</v>
      </c>
      <c r="F110" s="250" t="str">
        <f>IFERROR(VLOOKUP(D110,Calcs!B:F,5,FALSE),"")</f>
        <v/>
      </c>
      <c r="G110" s="465" t="str">
        <f>IFERROR(VLOOKUP(D110,Calcs!B:M,11,FALSE),"")</f>
        <v/>
      </c>
      <c r="H110" s="265" t="str">
        <f>IFERROR(VLOOKUP(D110,Calcs!B:N,12,FALSE),"")</f>
        <v/>
      </c>
    </row>
    <row r="111" spans="2:8" ht="14.25" customHeight="1">
      <c r="B111" s="151" t="str">
        <f>IFERROR(VLOOKUP(D111,Calcs!B:G,3,FALSE),"")</f>
        <v/>
      </c>
      <c r="C111" s="282"/>
      <c r="D111" t="s">
        <v>1009</v>
      </c>
      <c r="E111" s="241" t="s">
        <v>994</v>
      </c>
      <c r="F111" s="250" t="str">
        <f>IFERROR(VLOOKUP(D111,Calcs!B:F,5,FALSE),"")</f>
        <v/>
      </c>
      <c r="G111" s="465" t="str">
        <f>IFERROR(VLOOKUP(D111,Calcs!B:M,11,FALSE),"")</f>
        <v/>
      </c>
      <c r="H111" s="265" t="str">
        <f>IFERROR(VLOOKUP(D111,Calcs!B:N,12,FALSE),"")</f>
        <v/>
      </c>
    </row>
    <row r="112" spans="2:8" ht="14.25" customHeight="1">
      <c r="B112" s="151" t="str">
        <f>IFERROR(VLOOKUP(D112,Calcs!B:G,3,FALSE),"")</f>
        <v/>
      </c>
      <c r="C112" s="282"/>
      <c r="D112" t="s">
        <v>612</v>
      </c>
      <c r="E112" s="241"/>
      <c r="F112" s="250" t="str">
        <f>IFERROR(VLOOKUP(D112,Calcs!B:F,5,FALSE),"")</f>
        <v/>
      </c>
      <c r="G112" s="465" t="str">
        <f>IFERROR(VLOOKUP(D112,Calcs!B:M,11,FALSE),"")</f>
        <v/>
      </c>
      <c r="H112" s="265" t="str">
        <f>IFERROR(VLOOKUP(D112,Calcs!B:N,12,FALSE),"")</f>
        <v/>
      </c>
    </row>
    <row r="113" spans="2:8" ht="14.25" customHeight="1">
      <c r="B113" s="151"/>
      <c r="C113" s="282"/>
      <c r="D113" t="s">
        <v>610</v>
      </c>
      <c r="E113" s="241"/>
      <c r="F113" s="250"/>
      <c r="G113" s="465"/>
      <c r="H113" s="265"/>
    </row>
    <row r="114" spans="2:8" ht="14.25" customHeight="1">
      <c r="B114" s="550" t="s">
        <v>1010</v>
      </c>
      <c r="C114" s="403"/>
      <c r="D114" s="74"/>
      <c r="E114" s="404"/>
      <c r="F114" s="392">
        <f>IF(SUM(F115:F118)&gt;1,1,"")</f>
        <v>1</v>
      </c>
      <c r="G114" s="491"/>
      <c r="H114" s="492"/>
    </row>
    <row r="115" spans="2:8" ht="14.25" customHeight="1">
      <c r="B115" s="406" t="str">
        <f>IFERROR(VLOOKUP(D115,Calcs!B:G,3,FALSE),"")</f>
        <v>Auto Locking Carabiner Clips - 28KN (6172lbs) Heavy Duty Carabiner (4 Pack)</v>
      </c>
      <c r="C115" s="403"/>
      <c r="D115" s="74" t="s">
        <v>578</v>
      </c>
      <c r="E115" s="241" t="s">
        <v>994</v>
      </c>
      <c r="F115" s="391">
        <f>IFERROR(VLOOKUP(D115,Calcs!B:F,5,FALSE),0)</f>
        <v>2</v>
      </c>
      <c r="G115" s="465">
        <f>IFERROR(VLOOKUP(D115,Calcs!B:M,11,FALSE),"")</f>
        <v>52.88</v>
      </c>
      <c r="H115" s="265">
        <f>IFERROR(VLOOKUP(D115,Calcs!B:N,12,FALSE),"")</f>
        <v>105.76</v>
      </c>
    </row>
    <row r="116" spans="2:8" ht="14.25" customHeight="1">
      <c r="B116" s="406" t="str">
        <f>IFERROR(VLOOKUP(D116,Calcs!B:G,3,FALSE),"")</f>
        <v/>
      </c>
      <c r="C116" s="403"/>
      <c r="D116" s="74" t="s">
        <v>575</v>
      </c>
      <c r="E116" s="241" t="s">
        <v>994</v>
      </c>
      <c r="F116" s="391" t="str">
        <f>IFERROR(VLOOKUP(D116,Calcs!B:F,5,FALSE),"")</f>
        <v/>
      </c>
      <c r="G116" s="465" t="str">
        <f>IFERROR(VLOOKUP(D116,Calcs!B:M,11,FALSE),"")</f>
        <v/>
      </c>
      <c r="H116" s="265" t="str">
        <f>IFERROR(VLOOKUP(D116,Calcs!B:N,12,FALSE),"")</f>
        <v/>
      </c>
    </row>
    <row r="117" spans="2:8" ht="14.25" customHeight="1">
      <c r="B117" s="406" t="str">
        <f>IFERROR(VLOOKUP(D117,Calcs!B:G,3,FALSE),"")</f>
        <v/>
      </c>
      <c r="C117" s="403"/>
      <c r="D117" s="355" t="s">
        <v>587</v>
      </c>
      <c r="E117" s="241" t="s">
        <v>994</v>
      </c>
      <c r="F117" s="391" t="str">
        <f>IFERROR(VLOOKUP(D117,Calcs!B:F,5,FALSE),"")</f>
        <v/>
      </c>
      <c r="G117" s="465" t="str">
        <f>IFERROR(VLOOKUP(D117,Calcs!B:M,11,FALSE),"")</f>
        <v/>
      </c>
      <c r="H117" s="265" t="str">
        <f>IFERROR(VLOOKUP(D117,Calcs!B:N,12,FALSE),"")</f>
        <v/>
      </c>
    </row>
    <row r="118" spans="2:8" ht="14.25" customHeight="1">
      <c r="B118" s="406" t="str">
        <f>IFERROR(VLOOKUP(D118,Calcs!B:G,3,FALSE),"")</f>
        <v/>
      </c>
      <c r="C118" s="403"/>
      <c r="D118" s="797" t="s">
        <v>581</v>
      </c>
      <c r="E118" s="241" t="s">
        <v>1011</v>
      </c>
      <c r="F118" s="391">
        <f>IFERROR(VLOOKUP(D118,Calcs!B:F,5,FALSE),0)</f>
        <v>0</v>
      </c>
      <c r="G118" s="465" t="str">
        <f>IFERROR(VLOOKUP(D118,Calcs!B:M,11,FALSE),"")</f>
        <v/>
      </c>
      <c r="H118" s="265" t="str">
        <f>IFERROR(VLOOKUP(D118,Calcs!B:N,12,FALSE),"")</f>
        <v/>
      </c>
    </row>
    <row r="119" spans="2:8" ht="14.25" customHeight="1">
      <c r="B119" s="557" t="str">
        <f>IF(F118&gt;0.99,"Passthrough Freight Charge (Required)","")</f>
        <v/>
      </c>
      <c r="C119" s="282"/>
      <c r="D119" s="144" t="s">
        <v>628</v>
      </c>
      <c r="E119" s="241" t="s">
        <v>995</v>
      </c>
      <c r="F119" s="250" t="str">
        <f>IF(F118&gt;0.99,1,"")</f>
        <v/>
      </c>
      <c r="G119" s="465"/>
      <c r="H119" s="561" t="str">
        <f>IF(F119=1,"TBD","")</f>
        <v/>
      </c>
    </row>
    <row r="120" spans="2:8" ht="14.25" customHeight="1">
      <c r="B120" s="405" t="s">
        <v>1012</v>
      </c>
      <c r="C120" s="403"/>
      <c r="D120" s="355"/>
      <c r="E120" s="404"/>
      <c r="F120" s="392">
        <f>IF(F121&gt;1,1,"")</f>
        <v>1</v>
      </c>
      <c r="G120" s="465"/>
      <c r="H120" s="265"/>
    </row>
    <row r="121" spans="2:8" ht="14.25" customHeight="1">
      <c r="B121" s="406" t="str">
        <f>IFERROR(VLOOKUP(D121,Calcs!B:G,3,FALSE),"")</f>
        <v/>
      </c>
      <c r="C121" s="403"/>
      <c r="D121" s="354" t="s">
        <v>591</v>
      </c>
      <c r="E121" s="404"/>
      <c r="F121" s="391" t="str">
        <f>IFERROR(VLOOKUP(D121,Calcs!B:F,5,FALSE),"")</f>
        <v/>
      </c>
      <c r="G121" s="465" t="str">
        <f>IFERROR(VLOOKUP(D121,Calcs!B:M,11,FALSE),"")</f>
        <v/>
      </c>
      <c r="H121" s="265" t="str">
        <f>IFERROR(VLOOKUP(D121,Calcs!B:N,12,FALSE),"")</f>
        <v/>
      </c>
    </row>
    <row r="122" spans="2:8" ht="14.25" customHeight="1">
      <c r="B122" s="406" t="str">
        <f>IFERROR(VLOOKUP(D122,Calcs!B:G,3,FALSE),"")</f>
        <v/>
      </c>
      <c r="C122" s="403"/>
      <c r="D122" s="354" t="s">
        <v>454</v>
      </c>
      <c r="E122" s="404"/>
      <c r="F122" s="391" t="str">
        <f>IFERROR(VLOOKUP(D122,Calcs!B:F,5,FALSE),"")</f>
        <v/>
      </c>
      <c r="G122" s="465" t="str">
        <f>IFERROR(VLOOKUP(D122,Calcs!B:M,11,FALSE),"")</f>
        <v/>
      </c>
      <c r="H122" s="265" t="str">
        <f>IFERROR(VLOOKUP(D122,Calcs!B:N,12,FALSE),"")</f>
        <v/>
      </c>
    </row>
    <row r="123" spans="2:8" ht="14.25" customHeight="1">
      <c r="B123" s="406" t="str">
        <f>IFERROR(VLOOKUP(D123,Calcs!B:G,3,FALSE),"")</f>
        <v/>
      </c>
      <c r="C123" s="403"/>
      <c r="D123" s="354" t="s">
        <v>593</v>
      </c>
      <c r="E123" s="404"/>
      <c r="F123" s="391" t="str">
        <f>IFERROR(VLOOKUP(D123,Calcs!B:F,5,FALSE),"")</f>
        <v/>
      </c>
      <c r="G123" s="465" t="str">
        <f>IFERROR(VLOOKUP(D123,Calcs!B:M,11,FALSE),"")</f>
        <v/>
      </c>
      <c r="H123" s="265" t="str">
        <f>IFERROR(VLOOKUP(D123,Calcs!B:N,12,FALSE),"")</f>
        <v/>
      </c>
    </row>
    <row r="124" spans="2:8" ht="14.25" customHeight="1">
      <c r="B124" s="406" t="str">
        <f>IFERROR(VLOOKUP(D124,Calcs!B:G,3,FALSE),"")</f>
        <v>Eye Bolt - Fixed</v>
      </c>
      <c r="C124" s="403"/>
      <c r="D124" s="466" t="s">
        <v>657</v>
      </c>
      <c r="E124" s="404"/>
      <c r="F124" s="391">
        <f>F44</f>
        <v>0</v>
      </c>
      <c r="G124" s="465">
        <f>IFERROR(VLOOKUP(D124,Calcs!B:M,11,FALSE),"")</f>
        <v>20.59</v>
      </c>
      <c r="H124" s="265">
        <f>IFERROR(F124*G124,0)</f>
        <v>0</v>
      </c>
    </row>
    <row r="125" spans="2:8" ht="14.25" customHeight="1">
      <c r="B125" s="406" t="str">
        <f>IFERROR(VLOOKUP(D125,Calcs!B:G,3,FALSE),"")</f>
        <v/>
      </c>
      <c r="C125" s="403"/>
      <c r="D125" s="354" t="s">
        <v>597</v>
      </c>
      <c r="E125" s="404"/>
      <c r="F125" s="391" t="str">
        <f>IFERROR(VLOOKUP(D125,Calcs!B:F,5,FALSE),"")</f>
        <v/>
      </c>
      <c r="G125" s="465" t="str">
        <f>IFERROR(VLOOKUP(D125,Calcs!B:M,11,FALSE),"")</f>
        <v/>
      </c>
      <c r="H125" s="265" t="str">
        <f>IFERROR(VLOOKUP(D125,Calcs!B:N,12,FALSE),"")</f>
        <v/>
      </c>
    </row>
    <row r="126" spans="2:8" ht="14.25" customHeight="1">
      <c r="B126" s="406"/>
      <c r="C126" s="403"/>
      <c r="D126" s="354"/>
      <c r="E126" s="404"/>
      <c r="F126" s="391"/>
      <c r="G126" s="465"/>
      <c r="H126" s="265"/>
    </row>
    <row r="127" spans="2:8" ht="14.25" customHeight="1">
      <c r="B127" s="393" t="s">
        <v>405</v>
      </c>
      <c r="C127" s="394"/>
      <c r="D127" s="394"/>
      <c r="E127" s="395"/>
      <c r="F127" s="392" t="s">
        <v>978</v>
      </c>
      <c r="G127" s="244"/>
      <c r="H127" s="253">
        <f>SUM(H74:H125)</f>
        <v>2548.36</v>
      </c>
    </row>
    <row r="128" spans="2:8" ht="14.25" customHeight="1">
      <c r="B128" s="393"/>
      <c r="C128" s="394"/>
      <c r="D128" s="394"/>
      <c r="E128" s="395"/>
      <c r="F128" s="392"/>
      <c r="G128" s="244"/>
      <c r="H128" s="253"/>
    </row>
    <row r="129" spans="2:9">
      <c r="B129" s="881" t="s">
        <v>1074</v>
      </c>
      <c r="C129" s="882"/>
      <c r="D129" s="882"/>
      <c r="E129" s="882"/>
      <c r="F129" s="882"/>
      <c r="G129" s="882"/>
      <c r="H129" s="883"/>
    </row>
    <row r="130" spans="2:9" ht="14.25" customHeight="1">
      <c r="B130" s="393"/>
      <c r="C130" s="394"/>
      <c r="D130" s="394"/>
      <c r="E130" s="395"/>
      <c r="F130" s="392" t="s">
        <v>979</v>
      </c>
      <c r="G130" s="244"/>
      <c r="H130" s="267"/>
    </row>
    <row r="131" spans="2:9" ht="14.25" customHeight="1">
      <c r="B131" s="549" t="s">
        <v>1013</v>
      </c>
      <c r="C131" s="402"/>
      <c r="D131" s="407"/>
      <c r="E131" s="408"/>
      <c r="F131" s="409" t="s">
        <v>976</v>
      </c>
      <c r="G131" s="248"/>
      <c r="H131" s="268"/>
      <c r="I131" s="131"/>
    </row>
    <row r="132" spans="2:9" ht="14.25" customHeight="1">
      <c r="B132" s="388" t="s">
        <v>981</v>
      </c>
      <c r="C132" s="410"/>
      <c r="D132" s="394"/>
      <c r="E132" s="395"/>
      <c r="F132" s="392" t="s">
        <v>1014</v>
      </c>
      <c r="G132" s="244"/>
      <c r="H132" s="267"/>
    </row>
    <row r="133" spans="2:9" ht="14.25" customHeight="1">
      <c r="B133" s="35" t="str">
        <f>IFERROR(VLOOKUP(D133,Calcs!B:D,3,FALSE),"")</f>
        <v/>
      </c>
      <c r="C133" s="159"/>
      <c r="D133" s="23" t="s">
        <v>503</v>
      </c>
      <c r="E133" s="240"/>
      <c r="F133" s="250" t="str">
        <f>IFERROR(VLOOKUP(D133,Calcs!B:F,5,FALSE),"")</f>
        <v/>
      </c>
      <c r="G133" s="243" t="str">
        <f>IFERROR(VLOOKUP(D133,Calcs!B:M,11,FALSE),"")</f>
        <v/>
      </c>
      <c r="H133" s="265" t="str">
        <f>IFERROR(VLOOKUP(D133,Calcs!B:N,12,FALSE),"")</f>
        <v/>
      </c>
    </row>
    <row r="134" spans="2:9" ht="14.25" customHeight="1">
      <c r="B134" s="169" t="s">
        <v>1015</v>
      </c>
      <c r="C134" s="159"/>
      <c r="D134" s="23"/>
      <c r="E134" s="240"/>
      <c r="F134" s="559">
        <f>IF(SUM(F135:F137)&gt;=1,1,"")</f>
        <v>1</v>
      </c>
      <c r="G134" s="243"/>
      <c r="H134" s="265"/>
    </row>
    <row r="135" spans="2:9" ht="14.25" customHeight="1">
      <c r="B135" s="406" t="str">
        <f>IFERROR(VLOOKUP(D135,Calcs!B:D,3,FALSE),"")</f>
        <v>Adventure Complete Column Wrap (67" x 4.875" x 3.5" x 1.375" )</v>
      </c>
      <c r="C135" s="403" t="s">
        <v>993</v>
      </c>
      <c r="D135" t="s">
        <v>447</v>
      </c>
      <c r="E135" s="395"/>
      <c r="F135" s="391">
        <f>IFERROR(VLOOKUP(D135,Calcs!B:F,5,FALSE),"")</f>
        <v>2</v>
      </c>
      <c r="G135" s="243">
        <f>IFERROR(VLOOKUP(D135,Calcs!B:M,11,FALSE),"")</f>
        <v>221.13</v>
      </c>
      <c r="H135" s="265">
        <f>IFERROR(VLOOKUP(D135,Calcs!B:N,12,FALSE),"")</f>
        <v>442.26</v>
      </c>
    </row>
    <row r="136" spans="2:9" ht="14.25" customHeight="1">
      <c r="B136" s="406" t="str">
        <f>IFERROR(VLOOKUP(D136,Calcs!B:D,3,FALSE),"")</f>
        <v>Adventure U Shaped Safety Column Wrap (67" x 3.5" x 4.875" x 3.5" x 1.375" )</v>
      </c>
      <c r="C136" s="403" t="s">
        <v>993</v>
      </c>
      <c r="D136" t="s">
        <v>450</v>
      </c>
      <c r="E136" s="395"/>
      <c r="F136" s="391">
        <f>IFERROR(VLOOKUP(D136,Calcs!B:F,5,FALSE),"")</f>
        <v>2</v>
      </c>
      <c r="G136" s="243">
        <f>IFERROR(VLOOKUP(D136,Calcs!B:M,11,FALSE),"")</f>
        <v>236.38</v>
      </c>
      <c r="H136" s="265">
        <f>IFERROR(VLOOKUP(D136,Calcs!B:N,12,FALSE),"")</f>
        <v>472.76</v>
      </c>
    </row>
    <row r="137" spans="2:9" ht="14.25" customHeight="1">
      <c r="B137" s="406" t="str">
        <f>IFERROR(VLOOKUP(D137,Calcs!B:D,3,FALSE),"")</f>
        <v>Adventure U Shaped Column Wrap Ladder Leg (72" x 2" x 3.875" x 2" x 1.375" )</v>
      </c>
      <c r="C137" s="403" t="s">
        <v>993</v>
      </c>
      <c r="D137" t="s">
        <v>452</v>
      </c>
      <c r="E137" s="395"/>
      <c r="F137" s="391">
        <f>IFERROR(VLOOKUP(D137,Calcs!B:F,5,FALSE),"")</f>
        <v>2</v>
      </c>
      <c r="G137" s="243">
        <f>IFERROR(VLOOKUP(D137,Calcs!B:M,11,FALSE),"")</f>
        <v>201.3</v>
      </c>
      <c r="H137" s="265">
        <f>IFERROR(VLOOKUP(D137,Calcs!B:N,12,FALSE),"")</f>
        <v>402.6</v>
      </c>
    </row>
    <row r="138" spans="2:9" ht="14.25" customHeight="1">
      <c r="B138" s="406" t="str">
        <f>IFERROR(VLOOKUP(D138,Calcs!B:D,3,FALSE),"")</f>
        <v/>
      </c>
      <c r="C138" s="282" t="s">
        <v>993</v>
      </c>
      <c r="D138" t="s">
        <v>1016</v>
      </c>
      <c r="E138" s="240"/>
      <c r="F138" s="391" t="str">
        <f>IFERROR(VLOOKUP(D138,Calcs!B:F,5,FALSE),"")</f>
        <v/>
      </c>
      <c r="G138" s="243" t="str">
        <f>IFERROR(VLOOKUP(D138,Calcs!B:M,11,FALSE),"")</f>
        <v/>
      </c>
      <c r="H138" s="265" t="str">
        <f>IFERROR(VLOOKUP(D138,Calcs!B:N,12,FALSE),"")</f>
        <v/>
      </c>
    </row>
    <row r="139" spans="2:9" ht="14.25" customHeight="1">
      <c r="B139" s="406" t="str">
        <f>IFERROR(VLOOKUP(D139,Calcs!B:D,3,FALSE),"")</f>
        <v/>
      </c>
      <c r="C139" s="282"/>
      <c r="D139" t="s">
        <v>1077</v>
      </c>
      <c r="E139" s="240"/>
      <c r="F139" s="391" t="str">
        <f>IFERROR(VLOOKUP(D139,Calcs!B:F,5,FALSE),"")</f>
        <v/>
      </c>
      <c r="G139" s="243" t="str">
        <f>IFERROR(VLOOKUP(D139,Calcs!B:M,11,FALSE),"")</f>
        <v/>
      </c>
      <c r="H139" s="265" t="str">
        <f>IFERROR(VLOOKUP(D139,Calcs!B:N,12,FALSE),"")</f>
        <v/>
      </c>
    </row>
    <row r="140" spans="2:9" ht="14.25" customHeight="1">
      <c r="B140" s="406" t="str">
        <f>IFERROR(VLOOKUP(D140,Calcs!B:D,3,FALSE),"")</f>
        <v/>
      </c>
      <c r="C140" s="282"/>
      <c r="D140" t="s">
        <v>1078</v>
      </c>
      <c r="E140" s="240"/>
      <c r="F140" s="391" t="str">
        <f>IFERROR(VLOOKUP(D140,Calcs!B:F,5,FALSE),"")</f>
        <v/>
      </c>
      <c r="G140" s="243" t="str">
        <f>IFERROR(VLOOKUP(D140,Calcs!B:M,11,FALSE),"")</f>
        <v/>
      </c>
      <c r="H140" s="265" t="str">
        <f>IFERROR(VLOOKUP(D140,Calcs!B:N,12,FALSE),"")</f>
        <v/>
      </c>
    </row>
    <row r="141" spans="2:9" ht="14.25" customHeight="1">
      <c r="B141" s="406" t="str">
        <f>IFERROR(VLOOKUP(D141,Calcs!B:D,3,FALSE),"")</f>
        <v/>
      </c>
      <c r="C141" s="282"/>
      <c r="D141" t="s">
        <v>1079</v>
      </c>
      <c r="E141" s="240"/>
      <c r="F141" s="391" t="str">
        <f>IFERROR(VLOOKUP(D141,Calcs!B:F,5,FALSE),"")</f>
        <v/>
      </c>
      <c r="G141" s="243" t="str">
        <f>IFERROR(VLOOKUP(D141,Calcs!B:M,11,FALSE),"")</f>
        <v/>
      </c>
      <c r="H141" s="265" t="str">
        <f>IFERROR(VLOOKUP(D141,Calcs!B:N,12,FALSE),"")</f>
        <v/>
      </c>
    </row>
    <row r="142" spans="2:9" ht="14.25" customHeight="1">
      <c r="B142" s="406" t="str">
        <f>IFERROR(VLOOKUP(D142,Calcs!B:D,3,FALSE),"")</f>
        <v/>
      </c>
      <c r="C142" s="282"/>
      <c r="D142" t="s">
        <v>1080</v>
      </c>
      <c r="E142" s="240"/>
      <c r="F142" s="391" t="str">
        <f>IFERROR(VLOOKUP(D142,Calcs!B:F,5,FALSE),"")</f>
        <v/>
      </c>
      <c r="G142" s="243" t="str">
        <f>IFERROR(VLOOKUP(D142,Calcs!B:M,11,FALSE),"")</f>
        <v/>
      </c>
      <c r="H142" s="265" t="str">
        <f>IFERROR(VLOOKUP(D142,Calcs!B:N,12,FALSE),"")</f>
        <v/>
      </c>
    </row>
    <row r="143" spans="2:9" ht="14.25" customHeight="1">
      <c r="B143" s="406" t="str">
        <f>IFERROR(VLOOKUP(D143,Calcs!B:D,3,FALSE),"")</f>
        <v/>
      </c>
      <c r="C143" s="282"/>
      <c r="D143" t="s">
        <v>1081</v>
      </c>
      <c r="E143" s="240"/>
      <c r="F143" s="391" t="str">
        <f>IFERROR(VLOOKUP(D143,Calcs!B:F,5,FALSE),"")</f>
        <v/>
      </c>
      <c r="G143" s="243" t="str">
        <f>IFERROR(VLOOKUP(D143,Calcs!B:M,11,FALSE),"")</f>
        <v/>
      </c>
      <c r="H143" s="265" t="str">
        <f>IFERROR(VLOOKUP(D143,Calcs!B:N,12,FALSE),"")</f>
        <v/>
      </c>
    </row>
    <row r="144" spans="2:9" ht="14.25" customHeight="1">
      <c r="B144" s="406" t="str">
        <f>IFERROR(VLOOKUP(D144,Calcs!B:D,3,FALSE),"")</f>
        <v/>
      </c>
      <c r="C144" s="282"/>
      <c r="D144" t="s">
        <v>1082</v>
      </c>
      <c r="E144" s="240"/>
      <c r="F144" s="391" t="str">
        <f>IFERROR(VLOOKUP(D144,Calcs!B:F,5,FALSE),"")</f>
        <v/>
      </c>
      <c r="G144" s="243" t="str">
        <f>IFERROR(VLOOKUP(D144,Calcs!B:M,11,FALSE),"")</f>
        <v/>
      </c>
      <c r="H144" s="265" t="str">
        <f>IFERROR(VLOOKUP(D144,Calcs!B:N,12,FALSE),"")</f>
        <v/>
      </c>
    </row>
    <row r="145" spans="2:8" ht="14.25" customHeight="1">
      <c r="B145" s="406" t="str">
        <f>IFERROR(VLOOKUP(D145,Calcs!B:D,3,FALSE),"")</f>
        <v/>
      </c>
      <c r="C145" s="282"/>
      <c r="D145" t="s">
        <v>1083</v>
      </c>
      <c r="E145" s="240"/>
      <c r="F145" s="391" t="str">
        <f>IFERROR(VLOOKUP(D145,Calcs!B:F,5,FALSE),"")</f>
        <v/>
      </c>
      <c r="G145" s="243" t="str">
        <f>IFERROR(VLOOKUP(D145,Calcs!B:M,11,FALSE),"")</f>
        <v/>
      </c>
      <c r="H145" s="265" t="str">
        <f>IFERROR(VLOOKUP(D145,Calcs!B:N,12,FALSE),"")</f>
        <v/>
      </c>
    </row>
    <row r="146" spans="2:8" ht="14.25" customHeight="1">
      <c r="B146" s="406" t="str">
        <f>IFERROR(VLOOKUP(D146,Calcs!B:D,3,FALSE),"")</f>
        <v/>
      </c>
      <c r="C146" s="282"/>
      <c r="D146" t="s">
        <v>1084</v>
      </c>
      <c r="E146" s="240"/>
      <c r="F146" s="391" t="str">
        <f>IFERROR(VLOOKUP(D146,Calcs!B:F,5,FALSE),"")</f>
        <v/>
      </c>
      <c r="G146" s="243" t="str">
        <f>IFERROR(VLOOKUP(D146,Calcs!B:M,11,FALSE),"")</f>
        <v/>
      </c>
      <c r="H146" s="265" t="str">
        <f>IFERROR(VLOOKUP(D146,Calcs!B:N,12,FALSE),"")</f>
        <v/>
      </c>
    </row>
    <row r="147" spans="2:8" ht="14.25" customHeight="1">
      <c r="B147" s="406" t="str">
        <f>IFERROR(VLOOKUP(D147,Calcs!B:D,3,FALSE),"")</f>
        <v/>
      </c>
      <c r="C147" s="282"/>
      <c r="D147" t="s">
        <v>1085</v>
      </c>
      <c r="E147" s="240"/>
      <c r="F147" s="391" t="str">
        <f>IFERROR(VLOOKUP(D147,Calcs!B:F,5,FALSE),"")</f>
        <v/>
      </c>
      <c r="G147" s="243" t="str">
        <f>IFERROR(VLOOKUP(D147,Calcs!B:M,11,FALSE),"")</f>
        <v/>
      </c>
      <c r="H147" s="265" t="str">
        <f>IFERROR(VLOOKUP(D147,Calcs!B:N,12,FALSE),"")</f>
        <v/>
      </c>
    </row>
    <row r="148" spans="2:8" ht="14.25" customHeight="1">
      <c r="B148" s="406" t="str">
        <f>IFERROR(VLOOKUP(D148,Calcs!B:D,3,FALSE),"")</f>
        <v/>
      </c>
      <c r="C148" s="282"/>
      <c r="D148" t="s">
        <v>1086</v>
      </c>
      <c r="E148" s="240"/>
      <c r="F148" s="391" t="str">
        <f>IFERROR(VLOOKUP(D148,Calcs!B:F,5,FALSE),"")</f>
        <v/>
      </c>
      <c r="G148" s="243" t="str">
        <f>IFERROR(VLOOKUP(D148,Calcs!B:M,11,FALSE),"")</f>
        <v/>
      </c>
      <c r="H148" s="265" t="str">
        <f>IFERROR(VLOOKUP(D148,Calcs!B:N,12,FALSE),"")</f>
        <v/>
      </c>
    </row>
    <row r="149" spans="2:8" ht="14.25" customHeight="1">
      <c r="B149" s="406" t="str">
        <f>IFERROR(VLOOKUP(D149,Calcs!B:D,3,FALSE),"")</f>
        <v/>
      </c>
      <c r="C149" s="282"/>
      <c r="D149" t="s">
        <v>1087</v>
      </c>
      <c r="E149" s="240"/>
      <c r="F149" s="391" t="str">
        <f>IFERROR(VLOOKUP(D149,Calcs!B:F,5,FALSE),"")</f>
        <v/>
      </c>
      <c r="G149" s="243" t="str">
        <f>IFERROR(VLOOKUP(D149,Calcs!B:M,11,FALSE),"")</f>
        <v/>
      </c>
      <c r="H149" s="265" t="str">
        <f>IFERROR(VLOOKUP(D149,Calcs!B:N,12,FALSE),"")</f>
        <v/>
      </c>
    </row>
    <row r="150" spans="2:8" ht="14.25" customHeight="1">
      <c r="B150" s="406" t="str">
        <f>IFERROR(VLOOKUP(D150,Calcs!B:D,3,FALSE),"")</f>
        <v/>
      </c>
      <c r="C150" s="282"/>
      <c r="D150" t="s">
        <v>1088</v>
      </c>
      <c r="E150" s="240"/>
      <c r="F150" s="391" t="str">
        <f>IFERROR(VLOOKUP(D150,Calcs!B:F,5,FALSE),"")</f>
        <v/>
      </c>
      <c r="G150" s="243" t="str">
        <f>IFERROR(VLOOKUP(D150,Calcs!B:M,11,FALSE),"")</f>
        <v/>
      </c>
      <c r="H150" s="265" t="str">
        <f>IFERROR(VLOOKUP(D150,Calcs!B:N,12,FALSE),"")</f>
        <v/>
      </c>
    </row>
    <row r="151" spans="2:8" ht="14.25" customHeight="1">
      <c r="B151" s="406" t="str">
        <f>IFERROR(VLOOKUP(D151,Calcs!B:D,3,FALSE),"")</f>
        <v/>
      </c>
      <c r="C151" s="282"/>
      <c r="D151" t="s">
        <v>1089</v>
      </c>
      <c r="E151" s="240"/>
      <c r="F151" s="391" t="str">
        <f>IFERROR(VLOOKUP(D151,Calcs!B:F,5,FALSE),"")</f>
        <v/>
      </c>
      <c r="G151" s="243" t="str">
        <f>IFERROR(VLOOKUP(D151,Calcs!B:M,11,FALSE),"")</f>
        <v/>
      </c>
      <c r="H151" s="265" t="str">
        <f>IFERROR(VLOOKUP(D151,Calcs!B:N,12,FALSE),"")</f>
        <v/>
      </c>
    </row>
    <row r="152" spans="2:8">
      <c r="B152" s="406" t="str">
        <f>IFERROR(VLOOKUP(D152,Calcs!B:D,3,FALSE),"")</f>
        <v/>
      </c>
      <c r="C152" s="282" t="s">
        <v>993</v>
      </c>
      <c r="D152" s="354" t="s">
        <v>502</v>
      </c>
      <c r="E152" s="240"/>
      <c r="F152" s="391" t="str">
        <f>IFERROR(VLOOKUP(D152,Calcs!B:F,5,FALSE),"")</f>
        <v/>
      </c>
      <c r="G152" s="243" t="str">
        <f>IFERROR(VLOOKUP(D152,Calcs!B:M,11,FALSE),"")</f>
        <v/>
      </c>
      <c r="H152" s="265" t="str">
        <f>IFERROR(VLOOKUP(D152,Calcs!B:N,12,FALSE),"")</f>
        <v/>
      </c>
    </row>
    <row r="153" spans="2:8" ht="14.25" customHeight="1">
      <c r="B153" s="35" t="str">
        <f>IFERROR(VLOOKUP(D153,Calcs!B:D,3,FALSE),"")</f>
        <v/>
      </c>
      <c r="C153" s="282"/>
      <c r="D153" s="354" t="s">
        <v>549</v>
      </c>
      <c r="E153" s="240"/>
      <c r="F153" s="250" t="str">
        <f>IFERROR(VLOOKUP(D153,Calcs!B:F,5,FALSE),"")</f>
        <v/>
      </c>
      <c r="G153" s="243" t="str">
        <f>IFERROR(VLOOKUP(D153,Calcs!B:M,11,FALSE),"")</f>
        <v/>
      </c>
      <c r="H153" s="265" t="str">
        <f>IFERROR(VLOOKUP(D153,Calcs!B:N,12,FALSE),"")</f>
        <v/>
      </c>
    </row>
    <row r="154" spans="2:8" ht="14.25" customHeight="1">
      <c r="B154" s="35" t="str">
        <f>IFERROR(VLOOKUP(D154,Calcs!B:D,3,FALSE),"")</f>
        <v/>
      </c>
      <c r="C154" s="282"/>
      <c r="D154" s="354" t="s">
        <v>551</v>
      </c>
      <c r="E154" s="240"/>
      <c r="F154" s="250" t="str">
        <f>IFERROR(VLOOKUP(D154,Calcs!B:F,5,FALSE),"")</f>
        <v/>
      </c>
      <c r="G154" s="243" t="str">
        <f>IFERROR(VLOOKUP(D154,Calcs!B:M,11,FALSE),"")</f>
        <v/>
      </c>
      <c r="H154" s="265" t="str">
        <f>IFERROR(VLOOKUP(D154,Calcs!B:N,12,FALSE),"")</f>
        <v/>
      </c>
    </row>
    <row r="155" spans="2:8" ht="14.25" customHeight="1">
      <c r="B155" s="35" t="str">
        <f>IFERROR(VLOOKUP(D155,Calcs!B:D,3,FALSE),"")</f>
        <v/>
      </c>
      <c r="C155" s="282" t="s">
        <v>993</v>
      </c>
      <c r="D155" s="354" t="s">
        <v>508</v>
      </c>
      <c r="E155" s="240"/>
      <c r="F155" s="250" t="str">
        <f>IFERROR(VLOOKUP(D155,Calcs!B:F,5,FALSE),"")</f>
        <v/>
      </c>
      <c r="G155" s="243" t="str">
        <f>IFERROR(VLOOKUP(D155,Calcs!B:M,11,FALSE),"")</f>
        <v/>
      </c>
      <c r="H155" s="265" t="str">
        <f>IFERROR(VLOOKUP(D155,Calcs!B:N,12,FALSE),"")</f>
        <v/>
      </c>
    </row>
    <row r="156" spans="2:8" ht="14.25" customHeight="1">
      <c r="B156" s="35" t="str">
        <f>IFERROR(VLOOKUP(D156,Calcs!B:D,3,FALSE),"")</f>
        <v/>
      </c>
      <c r="C156" s="282" t="s">
        <v>993</v>
      </c>
      <c r="D156" s="354" t="s">
        <v>510</v>
      </c>
      <c r="E156" s="239"/>
      <c r="F156" s="250" t="str">
        <f>IFERROR(VLOOKUP(D156,Calcs!B:F,5,FALSE),"")</f>
        <v/>
      </c>
      <c r="G156" s="243" t="str">
        <f>IFERROR(VLOOKUP(D156,Calcs!B:M,11,FALSE),"")</f>
        <v/>
      </c>
      <c r="H156" s="265" t="str">
        <f>IFERROR(VLOOKUP(D156,Calcs!B:N,12,FALSE),"")</f>
        <v/>
      </c>
    </row>
    <row r="157" spans="2:8" ht="14.25" customHeight="1">
      <c r="B157" s="35" t="str">
        <f>IFERROR(VLOOKUP(D157,Calcs!B:D,3,FALSE),"")</f>
        <v/>
      </c>
      <c r="C157" s="282" t="s">
        <v>993</v>
      </c>
      <c r="D157" s="354" t="s">
        <v>512</v>
      </c>
      <c r="E157" s="239"/>
      <c r="F157" s="250" t="str">
        <f>IFERROR(VLOOKUP(D157,Calcs!B:F,5,FALSE),"")</f>
        <v/>
      </c>
      <c r="G157" s="243" t="str">
        <f>IFERROR(VLOOKUP(D157,Calcs!B:M,11,FALSE),"")</f>
        <v/>
      </c>
      <c r="H157" s="265" t="str">
        <f>IFERROR(VLOOKUP(D157,Calcs!B:N,12,FALSE),"")</f>
        <v/>
      </c>
    </row>
    <row r="158" spans="2:8" ht="14.25" customHeight="1">
      <c r="B158" s="35" t="str">
        <f>IFERROR(VLOOKUP(D158,Calcs!B:D,3,FALSE),"")</f>
        <v/>
      </c>
      <c r="C158" s="282" t="s">
        <v>993</v>
      </c>
      <c r="D158" s="354" t="s">
        <v>514</v>
      </c>
      <c r="E158" s="239"/>
      <c r="F158" s="250" t="str">
        <f>IFERROR(VLOOKUP(D158,Calcs!B:F,5,FALSE),"")</f>
        <v/>
      </c>
      <c r="G158" s="243" t="str">
        <f>IFERROR(VLOOKUP(D158,Calcs!B:M,11,FALSE),"")</f>
        <v/>
      </c>
      <c r="H158" s="265" t="str">
        <f>IFERROR(VLOOKUP(D158,Calcs!B:N,12,FALSE),"")</f>
        <v/>
      </c>
    </row>
    <row r="159" spans="2:8" ht="14.25" customHeight="1">
      <c r="B159" s="35" t="str">
        <f>IFERROR(VLOOKUP(D159,Calcs!B:D,3,FALSE),"")</f>
        <v/>
      </c>
      <c r="C159" s="282" t="s">
        <v>993</v>
      </c>
      <c r="D159" s="354" t="s">
        <v>535</v>
      </c>
      <c r="E159" s="239"/>
      <c r="F159" s="250" t="str">
        <f>IFERROR(VLOOKUP(D159,Calcs!B:F,5,FALSE),"")</f>
        <v/>
      </c>
      <c r="G159" s="243" t="str">
        <f>IFERROR(VLOOKUP(D159,Calcs!B:M,11,FALSE),"")</f>
        <v/>
      </c>
      <c r="H159" s="265" t="str">
        <f>IFERROR(VLOOKUP(D159,Calcs!B:N,12,FALSE),"")</f>
        <v/>
      </c>
    </row>
    <row r="160" spans="2:8" ht="14.25" customHeight="1">
      <c r="B160" s="35" t="str">
        <f>IFERROR(VLOOKUP(D160,Calcs!B:D,3,FALSE),"")</f>
        <v/>
      </c>
      <c r="C160" s="282" t="s">
        <v>993</v>
      </c>
      <c r="D160" s="354" t="s">
        <v>537</v>
      </c>
      <c r="E160" s="239"/>
      <c r="F160" s="250" t="str">
        <f>IFERROR(VLOOKUP(D160,Calcs!B:F,5,FALSE),"")</f>
        <v/>
      </c>
      <c r="G160" s="243" t="str">
        <f>IFERROR(VLOOKUP(D160,Calcs!B:M,11,FALSE),"")</f>
        <v/>
      </c>
      <c r="H160" s="265" t="str">
        <f>IFERROR(VLOOKUP(D160,Calcs!B:N,12,FALSE),"")</f>
        <v/>
      </c>
    </row>
    <row r="161" spans="2:8" ht="14.25" customHeight="1">
      <c r="B161" s="35" t="str">
        <f>IFERROR(VLOOKUP(D161,Calcs!B:D,3,FALSE),"")</f>
        <v/>
      </c>
      <c r="C161" s="282" t="s">
        <v>993</v>
      </c>
      <c r="D161" s="354" t="s">
        <v>533</v>
      </c>
      <c r="E161" s="239"/>
      <c r="F161" s="250" t="str">
        <f>IFERROR(VLOOKUP(D161,Calcs!B:F,5,FALSE),"")</f>
        <v/>
      </c>
      <c r="G161" s="243" t="str">
        <f>IFERROR(VLOOKUP(D161,Calcs!B:M,11,FALSE),"")</f>
        <v/>
      </c>
      <c r="H161" s="265" t="str">
        <f>IFERROR(VLOOKUP(D161,Calcs!B:N,12,FALSE),"")</f>
        <v/>
      </c>
    </row>
    <row r="162" spans="2:8" ht="14.25" customHeight="1">
      <c r="B162" s="35" t="str">
        <f>IFERROR(VLOOKUP(D162,Calcs!B:D,3,FALSE),"")</f>
        <v/>
      </c>
      <c r="C162" s="282" t="s">
        <v>993</v>
      </c>
      <c r="D162" s="488">
        <v>24722</v>
      </c>
      <c r="E162" s="239"/>
      <c r="F162" s="250" t="str">
        <f>IFERROR(VLOOKUP(D162,Calcs!B:F,5,FALSE),"")</f>
        <v/>
      </c>
      <c r="G162" s="243" t="str">
        <f>IFERROR(VLOOKUP(D162,Calcs!B:M,11,FALSE),"")</f>
        <v/>
      </c>
      <c r="H162" s="265" t="str">
        <f>IFERROR(VLOOKUP(D162,Calcs!B:N,12,FALSE),"")</f>
        <v/>
      </c>
    </row>
    <row r="163" spans="2:8" ht="14.25" customHeight="1">
      <c r="B163" s="35" t="str">
        <f>IFERROR(VLOOKUP(D163,Calcs!B:D,3,FALSE),"")</f>
        <v/>
      </c>
      <c r="C163" s="282" t="s">
        <v>993</v>
      </c>
      <c r="D163" s="148">
        <v>48722</v>
      </c>
      <c r="E163" s="239"/>
      <c r="F163" s="250" t="str">
        <f>IFERROR(VLOOKUP(D163,Calcs!B:F,5,FALSE),"")</f>
        <v/>
      </c>
      <c r="G163" s="243" t="str">
        <f>IFERROR(VLOOKUP(D163,Calcs!B:M,11,FALSE),"")</f>
        <v/>
      </c>
      <c r="H163" s="265" t="str">
        <f>IFERROR(VLOOKUP(D163,Calcs!B:N,12,FALSE),"")</f>
        <v/>
      </c>
    </row>
    <row r="164" spans="2:8" ht="14.25" customHeight="1">
      <c r="B164" s="163" t="str">
        <f>IFERROR(VLOOKUP(D164,Calcs!B:D,3,FALSE),"")</f>
        <v/>
      </c>
      <c r="C164" s="282"/>
      <c r="D164" s="148" t="s">
        <v>500</v>
      </c>
      <c r="E164" s="239"/>
      <c r="F164" s="250" t="str">
        <f>IFERROR(VLOOKUP(D164,Calcs!B:F,5,FALSE),"")</f>
        <v/>
      </c>
      <c r="G164" s="243" t="str">
        <f>IFERROR(VLOOKUP(D164,Calcs!B:M,11,FALSE),"")</f>
        <v/>
      </c>
      <c r="H164" s="265" t="str">
        <f>IFERROR(VLOOKUP(D164,Calcs!B:N,12,FALSE),"")</f>
        <v/>
      </c>
    </row>
    <row r="165" spans="2:8">
      <c r="B165" s="583" t="str">
        <f>IF(F164=1,"*Includes customer’s logo professionally printed and applied to all mats and padding. One-time setup and application fee. Customer to Provide Logo Files","")</f>
        <v/>
      </c>
      <c r="C165" s="282"/>
      <c r="D165" s="148"/>
      <c r="E165" s="239"/>
      <c r="F165" s="559" t="str">
        <f>F164</f>
        <v/>
      </c>
      <c r="G165" s="243"/>
      <c r="H165" s="265"/>
    </row>
    <row r="166" spans="2:8" ht="14.25" customHeight="1">
      <c r="B166" s="550" t="s">
        <v>1022</v>
      </c>
      <c r="C166" s="282"/>
      <c r="D166" s="148"/>
      <c r="E166" s="239"/>
      <c r="F166" s="392" t="str">
        <f>IF(F167=1,1,"")</f>
        <v/>
      </c>
      <c r="G166" s="243"/>
      <c r="H166" s="265"/>
    </row>
    <row r="167" spans="2:8" ht="14.25" customHeight="1">
      <c r="B167" s="163" t="str">
        <f>IFERROR(VLOOKUP(D167,Calcs!B:D,3,FALSE),"")</f>
        <v/>
      </c>
      <c r="C167" s="282" t="s">
        <v>993</v>
      </c>
      <c r="D167" s="354" t="s">
        <v>516</v>
      </c>
      <c r="E167" s="241" t="s">
        <v>1023</v>
      </c>
      <c r="F167" s="250" t="str">
        <f>IFERROR(VLOOKUP(D167,Calcs!B:F,5,FALSE),"")</f>
        <v/>
      </c>
      <c r="G167" s="243" t="str">
        <f>IFERROR(VLOOKUP(D167,Calcs!B:M,11,FALSE),"")</f>
        <v/>
      </c>
      <c r="H167" s="265" t="str">
        <f>IFERROR(VLOOKUP(D167,Calcs!B:N,12,FALSE),"")</f>
        <v/>
      </c>
    </row>
    <row r="168" spans="2:8" ht="14.25" customHeight="1">
      <c r="B168" s="35" t="str">
        <f>IFERROR(VLOOKUP(D168,Calcs!B:D,3,FALSE),"")</f>
        <v/>
      </c>
      <c r="C168" s="282" t="s">
        <v>993</v>
      </c>
      <c r="D168" s="354" t="s">
        <v>520</v>
      </c>
      <c r="E168" s="241" t="s">
        <v>1024</v>
      </c>
      <c r="F168" s="250" t="str">
        <f>IFERROR(VLOOKUP(D168,Calcs!B:F,5,FALSE),"")</f>
        <v/>
      </c>
      <c r="G168" s="243" t="str">
        <f>IFERROR(VLOOKUP(D168,Calcs!B:M,11,FALSE),"")</f>
        <v/>
      </c>
      <c r="H168" s="265" t="str">
        <f>IFERROR(VLOOKUP(D168,Calcs!B:N,12,FALSE),"")</f>
        <v/>
      </c>
    </row>
    <row r="169" spans="2:8" ht="14.25" customHeight="1">
      <c r="B169" s="35" t="str">
        <f>IFERROR(VLOOKUP(D169,Calcs!B:D,3,FALSE),"")</f>
        <v/>
      </c>
      <c r="C169" s="282" t="s">
        <v>993</v>
      </c>
      <c r="D169" s="354" t="s">
        <v>523</v>
      </c>
      <c r="E169" s="241" t="s">
        <v>1024</v>
      </c>
      <c r="F169" s="250" t="str">
        <f>IFERROR(VLOOKUP(D169,Calcs!B:F,5,FALSE),"")</f>
        <v/>
      </c>
      <c r="G169" s="243" t="str">
        <f>IFERROR(VLOOKUP(D169,Calcs!B:M,11,FALSE),"")</f>
        <v/>
      </c>
      <c r="H169" s="265" t="str">
        <f>IFERROR(VLOOKUP(D169,Calcs!B:N,12,FALSE),"")</f>
        <v/>
      </c>
    </row>
    <row r="170" spans="2:8" ht="14.25" customHeight="1">
      <c r="B170" s="35" t="str">
        <f>IFERROR(VLOOKUP(D170,Calcs!B:D,3,FALSE),"")</f>
        <v/>
      </c>
      <c r="C170" s="282" t="s">
        <v>993</v>
      </c>
      <c r="D170" s="354" t="s">
        <v>525</v>
      </c>
      <c r="E170" s="241" t="s">
        <v>1024</v>
      </c>
      <c r="F170" s="250" t="str">
        <f>IFERROR(VLOOKUP(D170,Calcs!B:F,5,FALSE),"")</f>
        <v/>
      </c>
      <c r="G170" s="243" t="str">
        <f>IFERROR(VLOOKUP(D170,Calcs!B:M,11,FALSE),"")</f>
        <v/>
      </c>
      <c r="H170" s="265" t="str">
        <f>IFERROR(VLOOKUP(D170,Calcs!B:N,12,FALSE),"")</f>
        <v/>
      </c>
    </row>
    <row r="171" spans="2:8" ht="14.25" customHeight="1">
      <c r="B171" s="35" t="str">
        <f>IFERROR(VLOOKUP(D171,Calcs!B:D,3,FALSE),"")</f>
        <v/>
      </c>
      <c r="C171" s="282" t="s">
        <v>993</v>
      </c>
      <c r="D171" s="354" t="s">
        <v>531</v>
      </c>
      <c r="E171" s="241" t="s">
        <v>1025</v>
      </c>
      <c r="F171" s="250" t="str">
        <f>IFERROR(VLOOKUP(D171,Calcs!B:F,5,FALSE),"")</f>
        <v/>
      </c>
      <c r="G171" s="243" t="str">
        <f>IFERROR(VLOOKUP(D171,Calcs!B:M,11,FALSE),"")</f>
        <v/>
      </c>
      <c r="H171" s="265" t="str">
        <f>IFERROR(VLOOKUP(D171,Calcs!B:N,12,FALSE),"")</f>
        <v/>
      </c>
    </row>
    <row r="172" spans="2:8" ht="14.25" customHeight="1">
      <c r="B172" s="35" t="str">
        <f>IFERROR(VLOOKUP(D172,Calcs!B:D,3,FALSE),"")</f>
        <v/>
      </c>
      <c r="C172" s="282" t="s">
        <v>993</v>
      </c>
      <c r="D172" s="354" t="s">
        <v>547</v>
      </c>
      <c r="E172" s="241" t="s">
        <v>1025</v>
      </c>
      <c r="F172" s="250" t="str">
        <f>IFERROR(VLOOKUP(D172,Calcs!B:F,5,FALSE),"")</f>
        <v/>
      </c>
      <c r="G172" s="243" t="str">
        <f>IFERROR(VLOOKUP(D172,Calcs!B:M,11,FALSE),"")</f>
        <v/>
      </c>
      <c r="H172" s="265" t="str">
        <f>IFERROR(VLOOKUP(D172,Calcs!B:N,12,FALSE),"")</f>
        <v/>
      </c>
    </row>
    <row r="173" spans="2:8" ht="14.25" customHeight="1">
      <c r="B173" s="555" t="str">
        <f>IF(F173&gt;=1,"*Please allow 8-10 weeks for manufacturing &amp; delivery of all mat systems","")</f>
        <v>*Please allow 8-10 weeks for manufacturing &amp; delivery of all mat systems</v>
      </c>
      <c r="C173" s="389"/>
      <c r="D173" s="354"/>
      <c r="E173" s="390"/>
      <c r="F173" s="392">
        <f>SUM(F133:F172)</f>
        <v>7</v>
      </c>
      <c r="G173" s="243"/>
      <c r="H173" s="265"/>
    </row>
    <row r="174" spans="2:8" ht="14.25" customHeight="1">
      <c r="B174" s="555" t="str">
        <f>IF(F173&gt;=1,"*All column wraps &amp; floor padding colors will be determined after proposal is signed","")</f>
        <v>*All column wraps &amp; floor padding colors will be determined after proposal is signed</v>
      </c>
      <c r="C174" s="389"/>
      <c r="D174" s="354"/>
      <c r="E174" s="390"/>
      <c r="F174" s="392">
        <f>SUM(F133:F172)</f>
        <v>7</v>
      </c>
      <c r="G174" s="243"/>
      <c r="H174" s="265"/>
    </row>
    <row r="175" spans="2:8" ht="14.25" customHeight="1">
      <c r="B175" s="393" t="s">
        <v>405</v>
      </c>
      <c r="C175" s="389"/>
      <c r="D175" s="354"/>
      <c r="E175" s="390"/>
      <c r="F175" s="392" t="s">
        <v>978</v>
      </c>
      <c r="G175" s="244"/>
      <c r="H175" s="269">
        <f>SUM(H133:H172)</f>
        <v>1317.62</v>
      </c>
    </row>
    <row r="176" spans="2:8" ht="14.25" customHeight="1">
      <c r="B176" s="393"/>
      <c r="C176" s="389"/>
      <c r="D176" s="354"/>
      <c r="E176" s="390"/>
      <c r="F176" s="392"/>
      <c r="G176" s="244"/>
      <c r="H176" s="269"/>
    </row>
    <row r="177" spans="2:8" ht="14.25" customHeight="1">
      <c r="B177" s="763" t="s">
        <v>1090</v>
      </c>
      <c r="C177" s="746"/>
      <c r="D177" s="746"/>
      <c r="E177" s="746"/>
      <c r="F177" s="748"/>
      <c r="G177" s="749"/>
      <c r="H177" s="747"/>
    </row>
    <row r="178" spans="2:8" ht="14.25" customHeight="1">
      <c r="B178" s="393"/>
      <c r="C178" s="389"/>
      <c r="D178" s="354"/>
      <c r="E178" s="390"/>
      <c r="F178" s="392" t="s">
        <v>979</v>
      </c>
      <c r="G178" s="244"/>
      <c r="H178" s="269"/>
    </row>
    <row r="179" spans="2:8" ht="14.25" customHeight="1">
      <c r="B179" s="631" t="s">
        <v>1026</v>
      </c>
      <c r="C179" s="589"/>
      <c r="D179" s="590"/>
      <c r="E179" s="591"/>
      <c r="F179" s="409" t="s">
        <v>976</v>
      </c>
      <c r="G179" s="592"/>
      <c r="H179" s="593"/>
    </row>
    <row r="180" spans="2:8" ht="14.25" customHeight="1">
      <c r="B180" s="632" t="s">
        <v>981</v>
      </c>
      <c r="C180" s="282"/>
      <c r="D180" s="594"/>
      <c r="E180" s="241"/>
      <c r="F180" s="392" t="s">
        <v>1027</v>
      </c>
      <c r="G180" s="243"/>
      <c r="H180" s="265"/>
    </row>
    <row r="181" spans="2:8" ht="14.25" customHeight="1">
      <c r="B181" s="633" t="s">
        <v>1028</v>
      </c>
      <c r="C181" s="282"/>
      <c r="D181" s="594"/>
      <c r="E181" s="241"/>
      <c r="F181" s="559" t="str">
        <f>IF(SUM(F182:F186)&gt;=1,1,"")</f>
        <v/>
      </c>
      <c r="G181" s="243"/>
      <c r="H181" s="265"/>
    </row>
    <row r="182" spans="2:8" ht="14.25" customHeight="1">
      <c r="B182" s="163" t="str">
        <f>IFERROR(VLOOKUP(D182,Calcs!B:D,3,FALSE),"")</f>
        <v/>
      </c>
      <c r="C182" s="282"/>
      <c r="D182" s="354" t="s">
        <v>636</v>
      </c>
      <c r="E182" s="241"/>
      <c r="F182" s="250" t="str">
        <f>IFERROR(VLOOKUP(D182,Calcs!B:F,5,FALSE),"")</f>
        <v/>
      </c>
      <c r="G182" s="243" t="str">
        <f>IFERROR(VLOOKUP(D182,Calcs!B:M,11,FALSE),"")</f>
        <v/>
      </c>
      <c r="H182" s="265" t="str">
        <f>IFERROR(VLOOKUP(D182,Calcs!B:N,12,FALSE),"")</f>
        <v/>
      </c>
    </row>
    <row r="183" spans="2:8" ht="14.25" customHeight="1">
      <c r="B183" s="595" t="s">
        <v>1029</v>
      </c>
      <c r="C183" s="282"/>
      <c r="D183" s="354"/>
      <c r="E183" s="241"/>
      <c r="F183" s="392" t="str">
        <f>F182</f>
        <v/>
      </c>
      <c r="G183" s="243" t="str">
        <f>IFERROR(VLOOKUP(D183,Calcs!B:M,11,FALSE),"")</f>
        <v/>
      </c>
      <c r="H183" s="265" t="str">
        <f>IFERROR(VLOOKUP(D183,Calcs!B:N,12,FALSE),"")</f>
        <v/>
      </c>
    </row>
    <row r="184" spans="2:8" ht="14.25" customHeight="1">
      <c r="B184" s="163" t="str">
        <f>IFERROR(VLOOKUP(D184,Calcs!B:D,3,FALSE),"")</f>
        <v/>
      </c>
      <c r="C184" s="282"/>
      <c r="D184" s="354" t="s">
        <v>638</v>
      </c>
      <c r="E184" s="241"/>
      <c r="F184" s="250" t="str">
        <f>IFERROR(VLOOKUP(D184,Calcs!B:F,5,FALSE),"")</f>
        <v/>
      </c>
      <c r="G184" s="243" t="str">
        <f>IFERROR(VLOOKUP(D184,Calcs!B:M,11,FALSE),"")</f>
        <v/>
      </c>
      <c r="H184" s="265" t="str">
        <f>IFERROR(VLOOKUP(D184,Calcs!B:N,12,FALSE),"")</f>
        <v/>
      </c>
    </row>
    <row r="185" spans="2:8" ht="14.25" customHeight="1">
      <c r="B185" s="163" t="str">
        <f>IFERROR(VLOOKUP(D185,Calcs!B:D,3,FALSE),"")</f>
        <v/>
      </c>
      <c r="C185" s="282"/>
      <c r="D185" s="354" t="s">
        <v>632</v>
      </c>
      <c r="E185" s="241" t="s">
        <v>1030</v>
      </c>
      <c r="F185" s="250" t="str">
        <f>IFERROR(VLOOKUP(D185,Calcs!B:F,5,FALSE),"")</f>
        <v/>
      </c>
      <c r="G185" s="243" t="str">
        <f>IFERROR(VLOOKUP(D185,Calcs!B:M,11,FALSE),"")</f>
        <v/>
      </c>
      <c r="H185" s="265" t="str">
        <f>IFERROR(VLOOKUP(D185,Calcs!B:N,12,FALSE),"")</f>
        <v/>
      </c>
    </row>
    <row r="186" spans="2:8" ht="14.25" customHeight="1">
      <c r="B186" s="163" t="str">
        <f>IFERROR(VLOOKUP(D186,Calcs!B:D,3,FALSE),"")</f>
        <v/>
      </c>
      <c r="C186" s="282"/>
      <c r="D186" s="354" t="s">
        <v>634</v>
      </c>
      <c r="E186" s="241" t="s">
        <v>1030</v>
      </c>
      <c r="F186" s="250" t="str">
        <f>IFERROR(VLOOKUP(D186,Calcs!B:F,5,FALSE),"")</f>
        <v/>
      </c>
      <c r="G186" s="243" t="str">
        <f>IFERROR(VLOOKUP(D186,Calcs!B:M,11,FALSE),"")</f>
        <v/>
      </c>
      <c r="H186" s="265" t="str">
        <f>IFERROR(VLOOKUP(D186,Calcs!B:N,12,FALSE),"")</f>
        <v/>
      </c>
    </row>
    <row r="187" spans="2:8" ht="14.25" customHeight="1">
      <c r="B187" s="557" t="str">
        <f>IF(F182&gt;0.99,"Passthrough Freight Charge (Required)","")</f>
        <v>Passthrough Freight Charge (Required)</v>
      </c>
      <c r="C187" s="282"/>
      <c r="D187" s="144" t="s">
        <v>628</v>
      </c>
      <c r="E187" s="241"/>
      <c r="F187" s="250">
        <f>IF(H179=1,1,0)</f>
        <v>0</v>
      </c>
      <c r="G187" s="243"/>
      <c r="H187" s="561" t="str">
        <f>IF(F187=1,VLOOKUP(D187,Calcs!B:N,12,FALSE),"")</f>
        <v/>
      </c>
    </row>
    <row r="188" spans="2:8" ht="14.25" customHeight="1">
      <c r="B188" s="393" t="s">
        <v>405</v>
      </c>
      <c r="C188" s="389"/>
      <c r="D188" s="354"/>
      <c r="E188" s="390"/>
      <c r="F188" s="392" t="s">
        <v>978</v>
      </c>
      <c r="G188" s="244"/>
      <c r="H188" s="269">
        <f>SUM(H182:H187)</f>
        <v>0</v>
      </c>
    </row>
    <row r="189" spans="2:8" ht="14.25" customHeight="1">
      <c r="B189" s="393"/>
      <c r="C189" s="389"/>
      <c r="D189" s="354"/>
      <c r="E189" s="390"/>
      <c r="F189" s="392" t="s">
        <v>979</v>
      </c>
      <c r="G189" s="244"/>
      <c r="H189" s="267"/>
    </row>
    <row r="190" spans="2:8" ht="14.25" customHeight="1">
      <c r="B190" s="411" t="s">
        <v>342</v>
      </c>
      <c r="C190" s="398"/>
      <c r="D190" s="398"/>
      <c r="E190" s="399"/>
      <c r="F190" s="400" t="s">
        <v>976</v>
      </c>
      <c r="G190" s="249"/>
      <c r="H190" s="266"/>
    </row>
    <row r="191" spans="2:8" ht="15" customHeight="1">
      <c r="B191" s="388" t="s">
        <v>1032</v>
      </c>
      <c r="C191" s="389"/>
      <c r="D191" s="389" t="s">
        <v>724</v>
      </c>
      <c r="E191" s="390"/>
      <c r="F191" s="391">
        <v>1</v>
      </c>
      <c r="G191" s="208">
        <f>Calcs!M222-H200-H194</f>
        <v>895.94999999999993</v>
      </c>
      <c r="H191" s="265">
        <f>F191*G191</f>
        <v>895.94999999999993</v>
      </c>
    </row>
    <row r="192" spans="2:8" ht="15" customHeight="1">
      <c r="B192" s="406" t="str">
        <f>IFERROR(VLOOKUP(D192,Calcs!B:D,3,FALSE),"")</f>
        <v>Quick Shift Saddle Bracket™</v>
      </c>
      <c r="C192" s="389"/>
      <c r="D192" s="389" t="s">
        <v>394</v>
      </c>
      <c r="E192" s="412"/>
      <c r="F192" s="391">
        <f>IF(Calcs!F30&gt;0,(VLOOKUP(D192,Calcs!B:G,5,FALSE)),0)</f>
        <v>4</v>
      </c>
      <c r="G192" s="243">
        <f>IFERROR(VLOOKUP(D192,Calcs!B30:L30,11,FALSE),0)</f>
        <v>117.3</v>
      </c>
      <c r="H192" s="252">
        <f>IFERROR(VLOOKUP(D192,Calcs!B:N,12,FALSE),0)</f>
        <v>469.2</v>
      </c>
    </row>
    <row r="193" spans="2:8">
      <c r="B193" s="417" t="s">
        <v>1033</v>
      </c>
      <c r="C193" s="389"/>
      <c r="D193" s="389"/>
      <c r="E193" s="412"/>
      <c r="F193" s="392">
        <f>F192</f>
        <v>4</v>
      </c>
      <c r="G193" s="243"/>
      <c r="H193" s="252"/>
    </row>
    <row r="194" spans="2:8">
      <c r="B194" s="540" t="str">
        <f>IFERROR(VLOOKUP(D194,Calcs!$B$183:$M$222,3,FALSE),"")</f>
        <v>Swing &amp; Swivel Eye Bolt (for Quick Shift Saddle Bracket™)</v>
      </c>
      <c r="C194" s="389"/>
      <c r="D194" t="s">
        <v>653</v>
      </c>
      <c r="E194" s="412"/>
      <c r="F194" s="391">
        <f>IF(Calcs!F185&gt;0,(VLOOKUP(D194,Calcs!B:G,5,FALSE)),0)</f>
        <v>4</v>
      </c>
      <c r="G194" s="243">
        <f>IFERROR(VLOOKUP(D194,Calcs!$B$183:$M$222,11,FALSE),0)</f>
        <v>158.72999999999999</v>
      </c>
      <c r="H194" s="252">
        <f>IFERROR(VLOOKUP(D194,Calcs!$B$183:$M$222,12,FALSE),0)</f>
        <v>634.91999999999996</v>
      </c>
    </row>
    <row r="195" spans="2:8">
      <c r="B195" s="541" t="s">
        <v>1034</v>
      </c>
      <c r="C195" s="389"/>
      <c r="E195" s="412"/>
      <c r="F195" s="392">
        <f>F194</f>
        <v>4</v>
      </c>
      <c r="G195" s="243"/>
      <c r="H195" s="252"/>
    </row>
    <row r="196" spans="2:8">
      <c r="B196" s="541" t="s">
        <v>1035</v>
      </c>
      <c r="C196" s="389"/>
      <c r="E196" s="412"/>
      <c r="F196" s="392">
        <f>F194</f>
        <v>4</v>
      </c>
      <c r="G196" s="243"/>
      <c r="H196" s="252"/>
    </row>
    <row r="197" spans="2:8">
      <c r="B197" s="542" t="str">
        <f>IFERROR(VLOOKUP(D197,Calcs!B:D,3,FALSE),"")</f>
        <v/>
      </c>
      <c r="C197" s="23"/>
      <c r="D197" t="s">
        <v>655</v>
      </c>
      <c r="E197" s="239"/>
      <c r="F197" s="250">
        <f>IF(Calcs!F186&gt;0,(VLOOKUP(D197,Calcs!B:G,5,FALSE)),0)</f>
        <v>0</v>
      </c>
      <c r="G197" s="243">
        <f>IFERROR(VLOOKUP(D197,Calcs!$B$183:$M$222,11,FALSE),0)</f>
        <v>0</v>
      </c>
      <c r="H197" s="243">
        <f>IFERROR(VLOOKUP(D197,Calcs!$B$183:$M$222,12,FALSE),0)</f>
        <v>0</v>
      </c>
    </row>
    <row r="198" spans="2:8">
      <c r="B198" s="163" t="str">
        <f>IFERROR(VLOOKUP(D198,Calcs!B:D,3,FALSE),"")</f>
        <v/>
      </c>
      <c r="C198" s="23"/>
      <c r="D198" t="s">
        <v>659</v>
      </c>
      <c r="E198" s="562" t="s">
        <v>1036</v>
      </c>
      <c r="F198" s="391">
        <f>Calcs!F188</f>
        <v>0</v>
      </c>
      <c r="G198" s="243">
        <f>IFERROR(VLOOKUP(D198,Calcs!$B$183:$M$222,11,FALSE),0)</f>
        <v>0</v>
      </c>
      <c r="H198" s="243">
        <f>IFERROR(VLOOKUP(D198,Calcs!$B$183:$M$222,12,FALSE),0)</f>
        <v>0</v>
      </c>
    </row>
    <row r="199" spans="2:8">
      <c r="B199" s="417" t="s">
        <v>1037</v>
      </c>
      <c r="C199" s="23"/>
      <c r="E199" s="562"/>
      <c r="F199" s="392">
        <f>F198</f>
        <v>0</v>
      </c>
      <c r="G199" s="243"/>
      <c r="H199" s="243"/>
    </row>
    <row r="200" spans="2:8">
      <c r="B200" s="406" t="str">
        <f>IFERROR(VLOOKUP(D200,Calcs!B:D,3,FALSE),"")</f>
        <v>Eye Bolt - Fixed</v>
      </c>
      <c r="C200" s="389"/>
      <c r="D200" s="466" t="s">
        <v>657</v>
      </c>
      <c r="E200" s="563"/>
      <c r="F200" s="391">
        <f>IF(Calcs!F187&gt;0,(VLOOKUP(D200,Calcs!B:G,5,FALSE)),0)-F124</f>
        <v>12</v>
      </c>
      <c r="G200" s="243">
        <f>IFERROR(VLOOKUP(D200,Calcs!$B$183:$M$222,11,FALSE),0)</f>
        <v>20.59</v>
      </c>
      <c r="H200" s="243">
        <f>IFERROR(VLOOKUP(D200,Calcs!$B$183:$M$222,12,FALSE),0)</f>
        <v>247.07999999999998</v>
      </c>
    </row>
    <row r="201" spans="2:8">
      <c r="B201" s="35"/>
      <c r="C201" s="23"/>
      <c r="D201" s="23"/>
      <c r="E201" s="239"/>
      <c r="F201" s="250"/>
      <c r="G201" s="243"/>
      <c r="H201" s="251"/>
    </row>
    <row r="202" spans="2:8" ht="14.25" customHeight="1">
      <c r="B202" s="393" t="s">
        <v>405</v>
      </c>
      <c r="C202" s="394"/>
      <c r="D202" s="394"/>
      <c r="E202" s="395"/>
      <c r="F202" s="396" t="s">
        <v>978</v>
      </c>
      <c r="G202" s="244"/>
      <c r="H202" s="253">
        <f>SUM(H191:H201)</f>
        <v>2247.1499999999996</v>
      </c>
    </row>
    <row r="203" spans="2:8" ht="14.25" customHeight="1">
      <c r="B203" s="393"/>
      <c r="C203" s="394"/>
      <c r="D203" s="394"/>
      <c r="E203" s="395"/>
      <c r="F203" s="396"/>
      <c r="G203" s="244"/>
      <c r="H203" s="253"/>
    </row>
    <row r="204" spans="2:8" ht="14.25" customHeight="1">
      <c r="B204" s="878" t="s">
        <v>1074</v>
      </c>
      <c r="C204" s="879"/>
      <c r="D204" s="879"/>
      <c r="E204" s="879"/>
      <c r="F204" s="879"/>
      <c r="G204" s="879"/>
      <c r="H204" s="880"/>
    </row>
    <row r="205" spans="2:8" ht="14.25" customHeight="1">
      <c r="B205" s="751"/>
      <c r="C205" s="703"/>
      <c r="D205" s="703"/>
      <c r="E205" s="752"/>
      <c r="F205" s="709"/>
      <c r="G205" s="753"/>
      <c r="H205" s="754"/>
    </row>
    <row r="206" spans="2:8" ht="14.25" customHeight="1">
      <c r="B206" s="735"/>
      <c r="C206" s="31"/>
      <c r="D206" s="31"/>
      <c r="E206" s="31"/>
      <c r="F206" s="262"/>
      <c r="G206" s="262"/>
      <c r="H206" s="750"/>
    </row>
    <row r="207" spans="2:8" ht="14.25" customHeight="1">
      <c r="B207" s="735"/>
      <c r="C207" s="31"/>
      <c r="D207" s="884" t="s">
        <v>1091</v>
      </c>
      <c r="E207" s="884"/>
      <c r="F207" s="884"/>
      <c r="G207" s="884"/>
      <c r="H207" s="757"/>
    </row>
    <row r="208" spans="2:8" ht="14.25" customHeight="1">
      <c r="B208" s="735"/>
      <c r="D208" s="866" t="s">
        <v>1092</v>
      </c>
      <c r="E208" s="866"/>
      <c r="F208" s="866"/>
      <c r="G208" s="866"/>
      <c r="H208" s="750">
        <f>H52+H67+H127+H202+H175</f>
        <v>17885.68</v>
      </c>
    </row>
    <row r="209" spans="2:13" ht="14.25" customHeight="1">
      <c r="B209" s="735"/>
      <c r="D209" s="885" t="s">
        <v>1093</v>
      </c>
      <c r="E209" s="885"/>
      <c r="F209" s="885"/>
      <c r="G209" s="885"/>
      <c r="H209" s="755">
        <f>H175</f>
        <v>1317.62</v>
      </c>
    </row>
    <row r="210" spans="2:13" ht="14.25" customHeight="1">
      <c r="B210" s="735"/>
      <c r="C210" s="31"/>
      <c r="D210" s="886" t="s">
        <v>1094</v>
      </c>
      <c r="E210" s="866"/>
      <c r="F210" s="866"/>
      <c r="G210" s="866"/>
      <c r="H210" s="750">
        <f>+H208+H209</f>
        <v>19203.3</v>
      </c>
    </row>
    <row r="211" spans="2:13" ht="14.25" customHeight="1">
      <c r="B211" s="735"/>
      <c r="C211" s="31"/>
      <c r="D211" s="31"/>
      <c r="E211" s="31"/>
      <c r="F211" s="262"/>
      <c r="G211" s="262"/>
      <c r="H211" s="750"/>
    </row>
    <row r="212" spans="2:13" ht="14.25" customHeight="1">
      <c r="B212" s="888" t="s">
        <v>1095</v>
      </c>
      <c r="C212" s="31"/>
      <c r="D212" s="884" t="s">
        <v>1096</v>
      </c>
      <c r="E212" s="884"/>
      <c r="F212" s="884"/>
      <c r="G212" s="884"/>
      <c r="H212" s="758"/>
    </row>
    <row r="213" spans="2:13" ht="14.25" customHeight="1">
      <c r="B213" s="889"/>
      <c r="C213" s="31"/>
      <c r="D213" s="31"/>
      <c r="E213" s="31"/>
      <c r="F213" s="262"/>
      <c r="G213" s="262" t="s">
        <v>1097</v>
      </c>
      <c r="H213" s="750" t="str">
        <f>Discovery!B19</f>
        <v>TBD</v>
      </c>
    </row>
    <row r="214" spans="2:13" ht="14.25" customHeight="1">
      <c r="B214" s="889"/>
      <c r="C214" s="31"/>
      <c r="D214" s="760"/>
      <c r="E214" s="760"/>
      <c r="F214" s="759"/>
      <c r="G214" s="759" t="s">
        <v>1098</v>
      </c>
      <c r="H214" s="755">
        <f>Discovery!B24+Discovery!B25</f>
        <v>1153.21</v>
      </c>
    </row>
    <row r="215" spans="2:13" ht="14.25" customHeight="1">
      <c r="B215" s="889"/>
      <c r="C215" s="31"/>
      <c r="D215" s="31"/>
      <c r="E215" s="31"/>
      <c r="F215" s="262"/>
      <c r="G215" s="780" t="s">
        <v>1099</v>
      </c>
      <c r="H215" s="750" t="e">
        <f>H213+H214</f>
        <v>#VALUE!</v>
      </c>
    </row>
    <row r="216" spans="2:13" ht="14.25" customHeight="1">
      <c r="B216" s="735"/>
      <c r="C216" s="31"/>
      <c r="D216" s="31"/>
      <c r="E216" s="31"/>
      <c r="F216" s="262"/>
      <c r="G216" s="262"/>
      <c r="H216" s="750"/>
    </row>
    <row r="217" spans="2:13" ht="14.25" customHeight="1">
      <c r="B217" s="735"/>
      <c r="C217" s="31"/>
      <c r="D217" s="884" t="s">
        <v>1100</v>
      </c>
      <c r="E217" s="884"/>
      <c r="F217" s="884"/>
      <c r="G217" s="884"/>
      <c r="H217" s="758"/>
    </row>
    <row r="218" spans="2:13" ht="14.25" customHeight="1">
      <c r="B218" s="735"/>
      <c r="C218" s="31"/>
      <c r="D218" s="31"/>
      <c r="E218" s="31"/>
      <c r="F218" s="262"/>
      <c r="G218" s="781" t="s">
        <v>1101</v>
      </c>
      <c r="H218" s="750" t="e">
        <f>H210+H215</f>
        <v>#VALUE!</v>
      </c>
      <c r="J218" t="e" vm="1">
        <v>#VALUE!</v>
      </c>
      <c r="K218" s="765" cm="1">
        <f t="array" aca="1" ref="K218" ca="1">_FV(J218,"Price")</f>
        <v>0.7097</v>
      </c>
    </row>
    <row r="219" spans="2:13" ht="14.25" customHeight="1">
      <c r="B219" s="735"/>
      <c r="C219" s="31"/>
      <c r="D219" s="31"/>
      <c r="E219" s="31"/>
      <c r="F219" s="262"/>
      <c r="G219" s="781" t="s">
        <v>1102</v>
      </c>
      <c r="H219" s="750" t="e">
        <f ca="1">H218*K219</f>
        <v>#VALUE!</v>
      </c>
      <c r="J219" t="e" vm="2">
        <v>#VALUE!</v>
      </c>
      <c r="K219" s="765" cm="1">
        <f t="array" aca="1" ref="K219" ca="1">_FV(J219,"Price")</f>
        <v>1.4086000000000001</v>
      </c>
    </row>
    <row r="220" spans="2:13" ht="14.25" customHeight="1">
      <c r="B220" s="735"/>
      <c r="C220" s="31"/>
      <c r="D220" s="31"/>
      <c r="E220" s="31"/>
      <c r="F220" s="262"/>
      <c r="G220" s="262"/>
      <c r="H220" s="750"/>
    </row>
    <row r="221" spans="2:13" ht="14.25" customHeight="1">
      <c r="B221" s="829" t="s">
        <v>1103</v>
      </c>
      <c r="C221" s="31"/>
      <c r="D221" s="887" t="s">
        <v>1104</v>
      </c>
      <c r="E221" s="884"/>
      <c r="F221" s="884"/>
      <c r="G221" s="884"/>
      <c r="H221" s="761"/>
      <c r="J221" s="48" t="s">
        <v>1105</v>
      </c>
      <c r="K221" s="48" t="s">
        <v>1106</v>
      </c>
      <c r="L221" s="46" t="s">
        <v>1107</v>
      </c>
      <c r="M221" s="635" t="s">
        <v>1108</v>
      </c>
    </row>
    <row r="222" spans="2:13" ht="14.25" customHeight="1">
      <c r="B222" s="829"/>
      <c r="C222" s="31"/>
      <c r="D222" s="780"/>
      <c r="E222" s="262"/>
      <c r="F222" s="262"/>
      <c r="G222" s="262" t="s">
        <v>1109</v>
      </c>
      <c r="H222" s="750" t="e">
        <f ca="1">J222*H219</f>
        <v>#VALUE!</v>
      </c>
      <c r="J222" s="766">
        <v>0.25</v>
      </c>
      <c r="K222" s="767" t="e">
        <f ca="1">H222*K218</f>
        <v>#VALUE!</v>
      </c>
      <c r="L222" t="s">
        <v>1110</v>
      </c>
    </row>
    <row r="223" spans="2:13" ht="14.25" customHeight="1">
      <c r="B223" s="829"/>
      <c r="C223" s="31"/>
      <c r="D223" s="31"/>
      <c r="E223" s="31"/>
      <c r="F223" s="262"/>
      <c r="G223" s="262" t="s">
        <v>1111</v>
      </c>
      <c r="H223" s="750" t="e">
        <f ca="1">(H219+H222)*J223</f>
        <v>#VALUE!</v>
      </c>
      <c r="J223" s="628">
        <v>0.05</v>
      </c>
      <c r="K223" s="131" t="e">
        <f ca="1">K218*H223</f>
        <v>#VALUE!</v>
      </c>
    </row>
    <row r="224" spans="2:13" ht="14.25" customHeight="1">
      <c r="B224" s="829"/>
      <c r="C224" s="31"/>
      <c r="D224" s="31"/>
      <c r="E224" s="31"/>
      <c r="F224" s="262"/>
      <c r="G224" s="262" t="s">
        <v>1112</v>
      </c>
      <c r="H224" s="750" t="e">
        <f ca="1">H219*J224</f>
        <v>#VALUE!</v>
      </c>
      <c r="J224" s="628">
        <v>0</v>
      </c>
      <c r="K224" s="131" t="e">
        <f ca="1">K218*H224</f>
        <v>#VALUE!</v>
      </c>
    </row>
    <row r="225" spans="2:13" ht="14.25" customHeight="1">
      <c r="B225" s="829"/>
      <c r="C225" s="31"/>
      <c r="E225" s="783"/>
      <c r="F225" s="783"/>
      <c r="G225" s="783"/>
      <c r="H225" s="784" t="s">
        <v>1113</v>
      </c>
    </row>
    <row r="226" spans="2:13" ht="14.25" customHeight="1">
      <c r="B226" s="829"/>
      <c r="C226" s="31"/>
      <c r="D226" s="31"/>
      <c r="E226" s="31"/>
      <c r="F226" s="262"/>
      <c r="G226" s="262"/>
      <c r="H226" s="750"/>
    </row>
    <row r="227" spans="2:13" ht="14.25" customHeight="1">
      <c r="B227" s="829"/>
      <c r="C227" s="31"/>
      <c r="D227" s="782"/>
      <c r="E227" s="756"/>
      <c r="F227" s="756"/>
      <c r="G227" s="785" t="s">
        <v>1114</v>
      </c>
      <c r="H227" s="762"/>
      <c r="J227" s="48" t="s">
        <v>1115</v>
      </c>
      <c r="K227" s="48" t="s">
        <v>1116</v>
      </c>
      <c r="L227" s="48" t="s">
        <v>1117</v>
      </c>
      <c r="M227" s="48" t="s">
        <v>1106</v>
      </c>
    </row>
    <row r="228" spans="2:13" ht="14.25" customHeight="1">
      <c r="B228" s="829"/>
      <c r="C228" s="31"/>
      <c r="D228" s="31"/>
      <c r="E228" s="31"/>
      <c r="F228" s="262"/>
      <c r="G228" s="781" t="s">
        <v>1118</v>
      </c>
      <c r="H228" s="750">
        <f>J228+(J228*K228)+(J228*L228)</f>
        <v>392</v>
      </c>
      <c r="J228" s="764">
        <v>350</v>
      </c>
      <c r="K228" s="628">
        <v>0.05</v>
      </c>
      <c r="L228" s="628">
        <v>7.0000000000000007E-2</v>
      </c>
      <c r="M228" s="131">
        <f ca="1">H228*K218</f>
        <v>278.20240000000001</v>
      </c>
    </row>
    <row r="229" spans="2:13" ht="14.25" customHeight="1">
      <c r="B229" s="829"/>
      <c r="C229" s="31"/>
      <c r="D229" s="31"/>
      <c r="E229" s="31"/>
      <c r="F229" s="262"/>
      <c r="G229" s="781" t="s">
        <v>1119</v>
      </c>
      <c r="H229" s="750">
        <f>J229+(J229*K229)+(J229*L229)</f>
        <v>392</v>
      </c>
      <c r="J229" s="764">
        <v>350</v>
      </c>
      <c r="K229" s="628">
        <v>0.05</v>
      </c>
      <c r="L229" s="628">
        <v>7.0000000000000007E-2</v>
      </c>
      <c r="M229" s="131">
        <f ca="1">H229*K218</f>
        <v>278.20240000000001</v>
      </c>
    </row>
    <row r="230" spans="2:13" ht="14.25" customHeight="1">
      <c r="B230" s="829"/>
      <c r="C230" s="31"/>
      <c r="D230" s="31"/>
      <c r="E230" s="31"/>
      <c r="F230" s="262"/>
      <c r="G230" s="781"/>
      <c r="H230" s="784" t="s">
        <v>1113</v>
      </c>
    </row>
    <row r="231" spans="2:13" ht="14.25" customHeight="1">
      <c r="B231" s="829"/>
      <c r="C231" s="31"/>
      <c r="D231" s="31"/>
      <c r="E231" s="31"/>
      <c r="F231" s="262"/>
      <c r="G231" s="781"/>
      <c r="H231" s="750"/>
    </row>
    <row r="232" spans="2:13" ht="14.25" customHeight="1">
      <c r="B232" s="829"/>
      <c r="C232" s="31"/>
      <c r="D232" s="884" t="s">
        <v>1120</v>
      </c>
      <c r="E232" s="884"/>
      <c r="F232" s="884"/>
      <c r="G232" s="884"/>
      <c r="H232" s="761"/>
    </row>
    <row r="233" spans="2:13" ht="14.25" customHeight="1">
      <c r="B233" s="735"/>
      <c r="C233" s="31"/>
      <c r="D233" s="31"/>
      <c r="E233" s="31"/>
      <c r="F233" s="262"/>
      <c r="G233" s="781" t="s">
        <v>1121</v>
      </c>
      <c r="H233" s="750" t="e">
        <f ca="1">H218+K223+K224+M228+M229+K222</f>
        <v>#VALUE!</v>
      </c>
    </row>
    <row r="234" spans="2:13" ht="14.25" customHeight="1">
      <c r="B234" s="735"/>
      <c r="C234" s="31"/>
      <c r="D234" s="31"/>
      <c r="E234" s="31"/>
      <c r="F234" s="262"/>
      <c r="G234" s="781" t="s">
        <v>1122</v>
      </c>
      <c r="H234" s="750" t="e">
        <f ca="1">H219+H223+H224+H228+H229+H222</f>
        <v>#VALUE!</v>
      </c>
    </row>
    <row r="235" spans="2:13" ht="14.25" customHeight="1">
      <c r="B235" s="735"/>
      <c r="C235" s="31"/>
      <c r="D235" s="31"/>
      <c r="E235" s="31"/>
      <c r="F235" s="262"/>
      <c r="G235" s="262"/>
      <c r="H235" s="750"/>
    </row>
    <row r="236" spans="2:13" ht="14.25" customHeight="1">
      <c r="B236" s="890" t="s">
        <v>1040</v>
      </c>
      <c r="C236" s="890"/>
      <c r="D236" s="890"/>
      <c r="E236" s="890"/>
      <c r="F236" s="890"/>
      <c r="G236" s="890"/>
      <c r="H236" s="890"/>
    </row>
    <row r="237" spans="2:13" ht="14.25" customHeight="1">
      <c r="B237" s="890"/>
      <c r="C237" s="890"/>
      <c r="D237" s="890"/>
      <c r="E237" s="890"/>
      <c r="F237" s="890"/>
      <c r="G237" s="890"/>
      <c r="H237" s="890"/>
    </row>
    <row r="238" spans="2:13" ht="14.25" customHeight="1">
      <c r="B238" s="890"/>
      <c r="C238" s="890"/>
      <c r="D238" s="890"/>
      <c r="E238" s="890"/>
      <c r="F238" s="890"/>
      <c r="G238" s="890"/>
      <c r="H238" s="890"/>
    </row>
    <row r="239" spans="2:13" ht="14.25" customHeight="1">
      <c r="B239" s="622"/>
      <c r="C239" s="622"/>
      <c r="D239" s="622"/>
      <c r="E239" s="622"/>
      <c r="F239" s="622"/>
      <c r="G239" s="622"/>
      <c r="H239" s="622"/>
    </row>
    <row r="240" spans="2:13" ht="14.25" customHeight="1">
      <c r="B240" s="15"/>
      <c r="C240" s="15"/>
      <c r="D240" s="15"/>
      <c r="E240" s="15"/>
      <c r="F240" s="156"/>
      <c r="G240" s="15"/>
      <c r="H240" s="15"/>
    </row>
    <row r="241" spans="2:10" ht="14.25" customHeight="1">
      <c r="B241" s="281" t="s">
        <v>965</v>
      </c>
      <c r="C241" s="32"/>
      <c r="D241" s="32"/>
      <c r="E241" s="32"/>
      <c r="F241" s="158"/>
      <c r="G241" s="32"/>
      <c r="H241" s="32"/>
    </row>
    <row r="242" spans="2:10">
      <c r="C242" s="156"/>
      <c r="D242" s="156"/>
      <c r="E242" s="156"/>
      <c r="F242" s="156"/>
      <c r="G242" s="156"/>
      <c r="H242" s="156"/>
      <c r="J242" s="131"/>
    </row>
    <row r="243" spans="2:10">
      <c r="B243" s="281"/>
      <c r="C243" s="156"/>
      <c r="D243" s="156"/>
      <c r="E243" s="156"/>
      <c r="F243" s="156"/>
      <c r="G243" s="156"/>
      <c r="H243" s="156"/>
      <c r="J243" s="131"/>
    </row>
    <row r="244" spans="2:10">
      <c r="B244" s="281"/>
      <c r="C244" s="156"/>
      <c r="D244" s="156"/>
      <c r="E244" s="156"/>
      <c r="F244" s="156"/>
      <c r="G244" s="156"/>
      <c r="H244" s="156"/>
    </row>
    <row r="245" spans="2:10" ht="14.25" customHeight="1">
      <c r="B245" s="337"/>
      <c r="C245" s="337"/>
      <c r="D245" s="337"/>
      <c r="E245" s="337"/>
      <c r="F245" s="826"/>
      <c r="G245" s="826"/>
      <c r="H245" s="826"/>
    </row>
    <row r="246" spans="2:10" s="46" customFormat="1" ht="14.25" customHeight="1">
      <c r="B246" s="613" t="s">
        <v>966</v>
      </c>
      <c r="D246" s="614" t="s">
        <v>967</v>
      </c>
      <c r="E246" s="615"/>
      <c r="F246" s="279"/>
      <c r="G246" s="832" t="s">
        <v>968</v>
      </c>
      <c r="H246" s="832"/>
    </row>
    <row r="247" spans="2:10" ht="14.25" customHeight="1">
      <c r="B247" s="156"/>
      <c r="C247" s="156"/>
      <c r="D247" s="156"/>
      <c r="E247" s="156"/>
      <c r="F247" s="156"/>
      <c r="G247" s="156"/>
      <c r="H247" s="156"/>
    </row>
    <row r="248" spans="2:10" ht="14.45" customHeight="1">
      <c r="B248" s="825" t="s">
        <v>969</v>
      </c>
      <c r="C248" s="825"/>
      <c r="D248" s="825"/>
      <c r="E248" s="825"/>
      <c r="F248" s="825"/>
      <c r="G248" s="825"/>
      <c r="H248" s="825"/>
    </row>
    <row r="249" spans="2:10" ht="14.25" customHeight="1">
      <c r="B249" s="141"/>
      <c r="C249" s="141"/>
      <c r="D249" s="141"/>
      <c r="E249" s="141"/>
      <c r="G249" s="141"/>
      <c r="H249" s="141"/>
    </row>
    <row r="250" spans="2:10" ht="14.25" customHeight="1">
      <c r="B250" s="141"/>
      <c r="C250" s="141"/>
      <c r="D250" s="141"/>
      <c r="E250" s="141"/>
      <c r="G250" s="141"/>
      <c r="H250" s="141"/>
    </row>
    <row r="251" spans="2:10" ht="14.25" customHeight="1"/>
    <row r="252" spans="2:10" ht="14.25" customHeight="1"/>
    <row r="253" spans="2:10" ht="14.25" customHeight="1"/>
    <row r="254" spans="2:10" ht="14.25" customHeight="1"/>
    <row r="255" spans="2:10" ht="14.25" customHeight="1"/>
    <row r="256" spans="2:10" ht="14.25" customHeight="1"/>
    <row r="259" spans="9:9" ht="32.25" customHeight="1"/>
    <row r="260" spans="9:9" ht="15" customHeight="1">
      <c r="I260" s="141"/>
    </row>
    <row r="261" spans="9:9" ht="15" customHeight="1">
      <c r="I261" s="141"/>
    </row>
    <row r="262" spans="9:9" ht="15" customHeight="1">
      <c r="I262" s="141"/>
    </row>
    <row r="263" spans="9:9" ht="15" customHeight="1">
      <c r="I263" s="141"/>
    </row>
    <row r="264" spans="9:9" ht="15" customHeight="1">
      <c r="I264" s="141"/>
    </row>
  </sheetData>
  <autoFilter ref="B19:H202" xr:uid="{6C11B1DA-86E7-4540-900C-0F1E91216DDD}"/>
  <mergeCells count="26">
    <mergeCell ref="F8:G8"/>
    <mergeCell ref="F9:G9"/>
    <mergeCell ref="F10:G10"/>
    <mergeCell ref="F11:G11"/>
    <mergeCell ref="F12:G12"/>
    <mergeCell ref="B15:H15"/>
    <mergeCell ref="B16:H17"/>
    <mergeCell ref="J13:K13"/>
    <mergeCell ref="B221:B232"/>
    <mergeCell ref="B236:H238"/>
    <mergeCell ref="B248:H248"/>
    <mergeCell ref="B54:H54"/>
    <mergeCell ref="B69:H69"/>
    <mergeCell ref="B129:H129"/>
    <mergeCell ref="B204:H204"/>
    <mergeCell ref="D207:G207"/>
    <mergeCell ref="D217:G217"/>
    <mergeCell ref="D208:G208"/>
    <mergeCell ref="D209:G209"/>
    <mergeCell ref="D210:G210"/>
    <mergeCell ref="D212:G212"/>
    <mergeCell ref="D221:G221"/>
    <mergeCell ref="F245:H245"/>
    <mergeCell ref="B212:B215"/>
    <mergeCell ref="G246:H246"/>
    <mergeCell ref="D232:G232"/>
  </mergeCells>
  <conditionalFormatting sqref="F8:G8">
    <cfRule type="containsText" dxfId="34" priority="3" operator="containsText" text="Invoice">
      <formula>NOT(ISERROR(SEARCH("Invoice",F8)))</formula>
    </cfRule>
  </conditionalFormatting>
  <conditionalFormatting sqref="D120:D123 D74:D75 D81:D113 D79 D77 D125:D126">
    <cfRule type="duplicateValues" dxfId="33" priority="8"/>
  </conditionalFormatting>
  <conditionalFormatting sqref="D117">
    <cfRule type="duplicateValues" dxfId="32" priority="2"/>
  </conditionalFormatting>
  <conditionalFormatting sqref="D118">
    <cfRule type="duplicateValues" dxfId="31" priority="1"/>
  </conditionalFormatting>
  <hyperlinks>
    <hyperlink ref="M221" r:id="rId1" xr:uid="{4A8EC9FF-B32D-4D62-B4F1-28B9189B947B}"/>
  </hyperlinks>
  <printOptions horizontalCentered="1"/>
  <pageMargins left="0.25" right="0.25" top="0.75" bottom="0.75" header="0.3" footer="0.3"/>
  <pageSetup scale="28" orientation="portrait" horizontalDpi="4294967293" verticalDpi="429496729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1900-AB04-45D7-A7AB-73ED00B9008B}">
  <sheetPr codeName="Sheet14">
    <tabColor rgb="FF00B0F0"/>
    <pageSetUpPr fitToPage="1"/>
  </sheetPr>
  <dimension ref="A1:K96"/>
  <sheetViews>
    <sheetView showZeros="0" topLeftCell="A52" zoomScale="90" zoomScaleNormal="90" workbookViewId="0">
      <selection activeCell="H76" sqref="H76"/>
    </sheetView>
  </sheetViews>
  <sheetFormatPr defaultRowHeight="15" customHeight="1"/>
  <cols>
    <col min="1" max="1" width="5.42578125" customWidth="1"/>
    <col min="2" max="2" width="48.85546875" bestFit="1" customWidth="1"/>
    <col min="3" max="3" width="12.42578125" customWidth="1"/>
    <col min="4" max="4" width="23" customWidth="1"/>
    <col min="5" max="5" width="20" bestFit="1" customWidth="1"/>
    <col min="6" max="6" width="13.7109375" style="141" customWidth="1"/>
    <col min="7" max="7" width="19.140625" bestFit="1" customWidth="1"/>
    <col min="8" max="8" width="21.85546875" customWidth="1"/>
    <col min="10" max="10" width="19.140625" bestFit="1" customWidth="1"/>
  </cols>
  <sheetData>
    <row r="1" spans="2:11" ht="21">
      <c r="B1" s="12" t="s">
        <v>938</v>
      </c>
      <c r="C1" s="10"/>
      <c r="D1" s="10"/>
      <c r="E1" s="9"/>
      <c r="F1" s="154"/>
      <c r="G1" s="18"/>
      <c r="H1" s="19"/>
      <c r="J1" s="489" t="s">
        <v>939</v>
      </c>
      <c r="K1" s="490" t="str">
        <f ca="1">B10&amp;" - Summit Flex- PSFv73 - "&amp;TEXT(H9,"MMDDYYYY")</f>
        <v>Soar Autism Center - South Fort Collins - Summit Flex- PSFv73 - 07222026</v>
      </c>
    </row>
    <row r="2" spans="2:11">
      <c r="B2" s="23" t="s">
        <v>940</v>
      </c>
      <c r="C2" s="23"/>
      <c r="D2" s="16"/>
      <c r="E2" s="23"/>
      <c r="F2" s="155"/>
      <c r="G2" s="15"/>
      <c r="H2" s="15"/>
      <c r="J2" s="489" t="s">
        <v>941</v>
      </c>
      <c r="K2" s="490" t="str">
        <f ca="1">B10&amp;" - Summit Flex - Proposal "&amp;F9&amp;" - "&amp;TEXT(H9,"MMDDYYYY")</f>
        <v>Soar Autism Center - South Fort Collins - Summit Flex - Proposal FLEX-SS-260722-001 - 07222026</v>
      </c>
    </row>
    <row r="3" spans="2:11">
      <c r="B3" s="23" t="s">
        <v>942</v>
      </c>
      <c r="C3" s="23"/>
      <c r="D3" s="16"/>
      <c r="E3" s="23"/>
      <c r="F3" s="156"/>
      <c r="G3" s="15"/>
      <c r="H3" s="1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6"/>
      <c r="E8" s="237"/>
      <c r="F8" s="899" t="s">
        <v>1123</v>
      </c>
      <c r="G8" s="900"/>
      <c r="H8" s="42" t="s">
        <v>948</v>
      </c>
    </row>
    <row r="9" spans="2:11" ht="14.25" customHeight="1">
      <c r="B9" s="16" t="str">
        <f>Discovery!B2</f>
        <v>Tyler Galiotto</v>
      </c>
      <c r="C9" s="23"/>
      <c r="D9" s="23"/>
      <c r="E9" s="15"/>
      <c r="F9" s="863" t="str">
        <f ca="1">"FLEX-" &amp;
UPPER(LEFT(B10,1) &amp; RIGHT(B10,1)) &amp;
"-" &amp; TEXT(H9,"yymmdd") &amp;
"-" &amp;
TEXT(
   IF(AND(ISNUMBER(K11),K11&gt;0),
      K11,
      COUNTIFS($B$10:B10,B10,$H$9:H9,H9)
   ),
"000")</f>
        <v>FLEX-SS-260722-001</v>
      </c>
      <c r="G9" s="838"/>
      <c r="H9" s="43">
        <f ca="1">TODAY()</f>
        <v>46225</v>
      </c>
      <c r="J9" s="48"/>
      <c r="K9" s="48"/>
    </row>
    <row r="10" spans="2:11" ht="14.25" customHeight="1">
      <c r="B10" s="16" t="str">
        <f>Discovery!B3</f>
        <v>Soar Autism Center - South Fort Collins</v>
      </c>
      <c r="C10" s="23"/>
      <c r="D10" s="23"/>
      <c r="E10" s="15"/>
      <c r="F10" s="839" t="s">
        <v>949</v>
      </c>
      <c r="G10" s="901"/>
      <c r="H10" s="44" t="s">
        <v>950</v>
      </c>
    </row>
    <row r="11" spans="2:11">
      <c r="B11" s="16" t="str">
        <f>Discovery!B4</f>
        <v>3801 Automation Way</v>
      </c>
      <c r="C11" s="23"/>
      <c r="D11" s="23"/>
      <c r="E11" s="15"/>
      <c r="F11" s="902" t="str">
        <f>"SSG-"&amp;Discovery!B13</f>
        <v>SSG-12552093278</v>
      </c>
      <c r="G11" s="903"/>
      <c r="H11" s="45">
        <f ca="1">H9+7</f>
        <v>46232</v>
      </c>
      <c r="J11" s="520" t="s">
        <v>951</v>
      </c>
      <c r="K11" s="53">
        <v>0</v>
      </c>
    </row>
    <row r="12" spans="2:11">
      <c r="B12" s="16" t="str">
        <f>Discovery!B5&amp;" "&amp;Discovery!B6&amp;" "&amp;ZAPIER!J2</f>
        <v>Fort Collins, CO 80525 5203895979</v>
      </c>
      <c r="C12" s="23"/>
      <c r="D12" s="23"/>
      <c r="E12" s="15"/>
      <c r="F12" s="156"/>
      <c r="G12" s="15"/>
      <c r="H12" s="15"/>
    </row>
    <row r="13" spans="2:11">
      <c r="B13" s="16"/>
      <c r="C13" s="23"/>
      <c r="D13" s="23"/>
      <c r="E13" s="15"/>
      <c r="F13" s="156"/>
      <c r="G13" s="15"/>
      <c r="H13" s="15"/>
    </row>
    <row r="14" spans="2:11" ht="15" customHeight="1">
      <c r="B14" s="904" t="s">
        <v>1124</v>
      </c>
      <c r="C14" s="904"/>
      <c r="D14" s="904"/>
      <c r="E14" s="904"/>
      <c r="F14" s="904"/>
      <c r="G14" s="904"/>
      <c r="H14" s="904"/>
    </row>
    <row r="15" spans="2:11" ht="15" customHeight="1">
      <c r="B15" s="16"/>
      <c r="C15" s="16"/>
      <c r="D15" s="16"/>
      <c r="E15" s="16"/>
      <c r="F15" s="156"/>
      <c r="G15" s="15"/>
      <c r="H15" s="15"/>
    </row>
    <row r="16" spans="2:11" ht="15.75">
      <c r="B16" s="896" t="s">
        <v>952</v>
      </c>
      <c r="C16" s="897"/>
      <c r="D16" s="897"/>
      <c r="E16" s="897"/>
      <c r="F16" s="897"/>
      <c r="G16" s="897"/>
      <c r="H16" s="898"/>
    </row>
    <row r="17" spans="2:8" ht="18.75" customHeight="1">
      <c r="B17" s="810" t="str">
        <f>"Summit Flex: Universal Exercise Unit (Spider Cage)"&amp;IF(SUM(Calcs!F268:F295)&gt;0.1," &amp; Accessories","")</f>
        <v>Summit Flex: Universal Exercise Unit (Spider Cage) &amp; Accessories</v>
      </c>
      <c r="C17" s="891"/>
      <c r="D17" s="891"/>
      <c r="E17" s="891"/>
      <c r="F17" s="891"/>
      <c r="G17" s="891"/>
      <c r="H17" s="892"/>
    </row>
    <row r="18" spans="2:8" ht="15" customHeight="1">
      <c r="B18" s="893"/>
      <c r="C18" s="894"/>
      <c r="D18" s="894"/>
      <c r="E18" s="894"/>
      <c r="F18" s="894"/>
      <c r="G18" s="894"/>
      <c r="H18" s="895"/>
    </row>
    <row r="19" spans="2:8" ht="15" customHeight="1">
      <c r="B19" s="23"/>
      <c r="C19" s="23"/>
      <c r="D19" s="23"/>
      <c r="E19" s="16"/>
      <c r="F19" s="155"/>
      <c r="G19" s="16"/>
      <c r="H19" s="16"/>
    </row>
    <row r="20" spans="2:8" ht="15" customHeight="1">
      <c r="B20" s="26" t="s">
        <v>175</v>
      </c>
      <c r="C20" s="27"/>
      <c r="D20" s="27" t="s">
        <v>955</v>
      </c>
      <c r="E20" s="28"/>
      <c r="F20" s="157" t="s">
        <v>957</v>
      </c>
      <c r="G20" s="20" t="s">
        <v>974</v>
      </c>
      <c r="H20" s="21" t="s">
        <v>975</v>
      </c>
    </row>
    <row r="21" spans="2:8" ht="15" customHeight="1">
      <c r="B21" s="33" t="s">
        <v>1125</v>
      </c>
      <c r="C21" s="29"/>
      <c r="D21" s="29"/>
      <c r="E21" s="30"/>
      <c r="F21" s="60" t="s">
        <v>976</v>
      </c>
      <c r="G21" s="22"/>
      <c r="H21" s="34"/>
    </row>
    <row r="22" spans="2:8">
      <c r="B22" s="169" t="s">
        <v>1126</v>
      </c>
      <c r="C22" s="23"/>
      <c r="D22" t="s">
        <v>773</v>
      </c>
      <c r="E22" s="23"/>
      <c r="F22" s="204">
        <v>1</v>
      </c>
      <c r="G22" s="274">
        <f>IFERROR(VLOOKUP(D22,Calcs!B:N,12,FALSE),"")</f>
        <v>5414.4</v>
      </c>
      <c r="H22" s="36">
        <f>F22*G22</f>
        <v>5414.4</v>
      </c>
    </row>
    <row r="23" spans="2:8" ht="105.75" customHeight="1">
      <c r="B23" s="911" t="s">
        <v>1127</v>
      </c>
      <c r="C23" s="912"/>
      <c r="D23" s="912"/>
      <c r="E23" s="912"/>
      <c r="F23" s="153" t="s">
        <v>979</v>
      </c>
      <c r="G23" s="274"/>
      <c r="H23" s="36"/>
    </row>
    <row r="24" spans="2:8">
      <c r="B24" s="913" t="s">
        <v>405</v>
      </c>
      <c r="C24" s="914"/>
      <c r="D24" s="914"/>
      <c r="E24" s="914"/>
      <c r="F24" s="153" t="s">
        <v>979</v>
      </c>
      <c r="G24" s="275"/>
      <c r="H24" s="104">
        <f>H22</f>
        <v>5414.4</v>
      </c>
    </row>
    <row r="25" spans="2:8">
      <c r="B25" s="170"/>
      <c r="C25" s="361"/>
      <c r="D25" s="361"/>
      <c r="E25" s="361"/>
      <c r="F25" s="153" t="s">
        <v>979</v>
      </c>
      <c r="G25" s="275"/>
      <c r="H25" s="104"/>
    </row>
    <row r="26" spans="2:8">
      <c r="B26" s="917" t="s">
        <v>1128</v>
      </c>
      <c r="C26" s="918"/>
      <c r="D26" s="918"/>
      <c r="E26" s="919"/>
      <c r="F26" s="278" t="s">
        <v>979</v>
      </c>
      <c r="G26" s="277"/>
      <c r="H26" s="173"/>
    </row>
    <row r="27" spans="2:8">
      <c r="B27" s="35" t="s">
        <v>981</v>
      </c>
      <c r="C27" s="361"/>
      <c r="D27" s="362"/>
      <c r="E27" s="361"/>
      <c r="F27" s="364" t="s">
        <v>1129</v>
      </c>
      <c r="G27" s="260"/>
      <c r="H27" s="165"/>
    </row>
    <row r="28" spans="2:8">
      <c r="B28" s="35" t="str">
        <f>IFERROR(VLOOKUP(D28,Calcs!B:G,3,FALSE),"")</f>
        <v>Integrated Suspension Tracking Rail System</v>
      </c>
      <c r="C28" s="361"/>
      <c r="D28" s="320" t="s">
        <v>775</v>
      </c>
      <c r="E28" s="361"/>
      <c r="F28" s="259">
        <f>IFERROR(VLOOKUP('Summit Flex Proposal'!D28,Calcs!$B$260:$F$295,5,FALSE),"")</f>
        <v>1</v>
      </c>
      <c r="G28" s="260">
        <f>IFERROR(VLOOKUP(D28,Calcs!B:N,12,FALSE),"")</f>
        <v>1415.04</v>
      </c>
      <c r="H28" s="165">
        <f>IFERROR(VLOOKUP(D28,Calcs!B:AB,11,FALSE),"")</f>
        <v>1415.04</v>
      </c>
    </row>
    <row r="29" spans="2:8" ht="81" customHeight="1">
      <c r="B29" s="911" t="s">
        <v>1130</v>
      </c>
      <c r="C29" s="912"/>
      <c r="D29" s="912"/>
      <c r="E29" s="916"/>
      <c r="F29" s="436">
        <f>F28</f>
        <v>1</v>
      </c>
      <c r="G29" s="260"/>
      <c r="H29" s="165"/>
    </row>
    <row r="30" spans="2:8">
      <c r="B30" s="35" t="str">
        <f>IFERROR(VLOOKUP(D30,Calcs!B:G,3,FALSE),"")</f>
        <v/>
      </c>
      <c r="C30" s="361"/>
      <c r="D30" s="320" t="s">
        <v>777</v>
      </c>
      <c r="E30" s="361"/>
      <c r="F30" s="259" t="str">
        <f>IFERROR(VLOOKUP('Summit Flex Proposal'!D30,Calcs!$B$260:$F$295,5,FALSE),"")</f>
        <v/>
      </c>
      <c r="G30" s="260" t="str">
        <f>IFERROR(VLOOKUP(D30,Calcs!B:N,12,FALSE),"")</f>
        <v/>
      </c>
      <c r="H30" s="165" t="str">
        <f>IFERROR(VLOOKUP(D30,Calcs!B:AB,11,FALSE),"")</f>
        <v/>
      </c>
    </row>
    <row r="31" spans="2:8">
      <c r="B31" s="35" t="str">
        <f>IFERROR(VLOOKUP(D31,Calcs!B:G,3,FALSE),"")</f>
        <v>Suspension Harness Kit</v>
      </c>
      <c r="C31" s="361"/>
      <c r="D31" s="551" t="s">
        <v>812</v>
      </c>
      <c r="E31" s="361"/>
      <c r="F31" s="259">
        <f>IFERROR(VLOOKUP('Summit Flex Proposal'!D31,Calcs!$B$260:$F$295,5,FALSE),"")</f>
        <v>1</v>
      </c>
      <c r="G31" s="260">
        <f>IFERROR(VLOOKUP(D31,Calcs!B:N,12,FALSE),"")</f>
        <v>204.43500000000003</v>
      </c>
      <c r="H31" s="165">
        <f>IFERROR(VLOOKUP(D31,Calcs!B:AB,11,FALSE),"")</f>
        <v>204.43500000000003</v>
      </c>
    </row>
    <row r="32" spans="2:8">
      <c r="B32" s="913" t="s">
        <v>405</v>
      </c>
      <c r="C32" s="914"/>
      <c r="D32" s="914"/>
      <c r="E32" s="914"/>
      <c r="F32" s="153" t="s">
        <v>979</v>
      </c>
      <c r="G32" s="275"/>
      <c r="H32" s="104">
        <f>SUM(H28:H31)</f>
        <v>1619.4749999999999</v>
      </c>
    </row>
    <row r="33" spans="2:8">
      <c r="B33" s="35"/>
      <c r="C33" s="23"/>
      <c r="D33" s="23"/>
      <c r="E33" s="23"/>
      <c r="F33" s="153" t="s">
        <v>979</v>
      </c>
      <c r="G33" s="276"/>
      <c r="H33" s="165"/>
    </row>
    <row r="34" spans="2:8">
      <c r="B34" s="917" t="s">
        <v>1131</v>
      </c>
      <c r="C34" s="918"/>
      <c r="D34" s="918"/>
      <c r="E34" s="919"/>
      <c r="F34" s="278" t="s">
        <v>979</v>
      </c>
      <c r="G34" s="277"/>
      <c r="H34" s="173"/>
    </row>
    <row r="35" spans="2:8">
      <c r="B35" s="35" t="s">
        <v>981</v>
      </c>
      <c r="C35" s="23"/>
      <c r="E35" s="23"/>
      <c r="F35" s="436" t="s">
        <v>1132</v>
      </c>
      <c r="H35" s="437"/>
    </row>
    <row r="36" spans="2:8">
      <c r="B36" s="35" t="str">
        <f>IFERROR(VLOOKUP(D36,Calcs!B:G,3,FALSE),"")</f>
        <v/>
      </c>
      <c r="C36" s="23"/>
      <c r="D36" s="23" t="s">
        <v>783</v>
      </c>
      <c r="E36" s="23"/>
      <c r="F36" s="259" t="str">
        <f>IFERROR(VLOOKUP('Summit Flex Proposal'!D36,Calcs!$B$260:$F$295,5,FALSE),"")</f>
        <v/>
      </c>
      <c r="G36" s="260" t="str">
        <f>IFERROR(VLOOKUP(D36,Calcs!B:N,12,FALSE),"")</f>
        <v/>
      </c>
      <c r="H36" s="165" t="str">
        <f>IFERROR(VLOOKUP(D36,Calcs!B:AB,11,FALSE),"")</f>
        <v/>
      </c>
    </row>
    <row r="37" spans="2:8">
      <c r="B37" s="35" t="str">
        <f>IFERROR(VLOOKUP(D37,Calcs!B:G,3,FALSE),"")</f>
        <v/>
      </c>
      <c r="C37" s="23"/>
      <c r="D37" s="23" t="s">
        <v>785</v>
      </c>
      <c r="E37" s="23"/>
      <c r="F37" s="259" t="str">
        <f>IFERROR(VLOOKUP('Summit Flex Proposal'!D37,Calcs!$B$260:$F$295,5,FALSE),"")</f>
        <v/>
      </c>
      <c r="G37" s="260" t="str">
        <f>IFERROR(VLOOKUP(D37,Calcs!B:N,12,FALSE),"")</f>
        <v/>
      </c>
      <c r="H37" s="165" t="str">
        <f>IFERROR(VLOOKUP(D37,Calcs!B:AB,11,FALSE),"")</f>
        <v/>
      </c>
    </row>
    <row r="38" spans="2:8">
      <c r="B38" s="35" t="str">
        <f>IFERROR(VLOOKUP(D38,Calcs!B:G,3,FALSE),"")</f>
        <v/>
      </c>
      <c r="C38" s="23"/>
      <c r="D38" s="23" t="s">
        <v>787</v>
      </c>
      <c r="E38" s="23"/>
      <c r="F38" s="259" t="str">
        <f>IFERROR(VLOOKUP('Summit Flex Proposal'!D38,Calcs!$B$260:$F$295,5,FALSE),"")</f>
        <v/>
      </c>
      <c r="G38" s="260" t="str">
        <f>IFERROR(VLOOKUP(D38,Calcs!B:N,12,FALSE),"")</f>
        <v/>
      </c>
      <c r="H38" s="165" t="str">
        <f>IFERROR(VLOOKUP(D38,Calcs!B:AB,11,FALSE),"")</f>
        <v/>
      </c>
    </row>
    <row r="39" spans="2:8">
      <c r="B39" s="35" t="str">
        <f>IFERROR(VLOOKUP(D39,Calcs!B:G,3,FALSE),"")</f>
        <v>Floor Padding - 69" x 72" x 2" V1 Folding Mat - 2 Sections</v>
      </c>
      <c r="C39" s="23"/>
      <c r="D39" s="23" t="s">
        <v>789</v>
      </c>
      <c r="E39" s="23"/>
      <c r="F39" s="259">
        <f>IFERROR(VLOOKUP('Summit Flex Proposal'!D39,Calcs!$B$260:$F$295,5,FALSE),"")</f>
        <v>1</v>
      </c>
      <c r="G39" s="260">
        <f>IFERROR(VLOOKUP(D39,Calcs!B:N,12,FALSE),"")</f>
        <v>574.09</v>
      </c>
      <c r="H39" s="165">
        <f>IFERROR(VLOOKUP(D39,Calcs!B:AB,11,FALSE),"")</f>
        <v>574.09</v>
      </c>
    </row>
    <row r="40" spans="2:8">
      <c r="B40" s="35" t="str">
        <f>IFERROR(VLOOKUP(D40,Calcs!B:G,3,FALSE),"")</f>
        <v/>
      </c>
      <c r="C40" s="23"/>
      <c r="D40" s="23" t="s">
        <v>791</v>
      </c>
      <c r="E40" s="23"/>
      <c r="F40" s="259" t="str">
        <f>IFERROR(VLOOKUP('Summit Flex Proposal'!D40,Calcs!$B$260:$F$295,5,FALSE),"")</f>
        <v/>
      </c>
      <c r="G40" s="260" t="str">
        <f>IFERROR(VLOOKUP(D40,Calcs!B:N,12,FALSE),"")</f>
        <v/>
      </c>
      <c r="H40" s="165" t="str">
        <f>IFERROR(VLOOKUP(D40,Calcs!B:AB,11,FALSE),"")</f>
        <v/>
      </c>
    </row>
    <row r="41" spans="2:8">
      <c r="B41" s="35"/>
      <c r="C41" s="23"/>
      <c r="D41" s="23"/>
      <c r="E41" s="23"/>
      <c r="F41" s="153"/>
      <c r="G41" s="276"/>
      <c r="H41" s="165" t="str">
        <f>IFERROR(VLOOKUP(D41,Calcs!B:AB,11,FALSE),"")</f>
        <v/>
      </c>
    </row>
    <row r="42" spans="2:8">
      <c r="B42" s="913" t="s">
        <v>405</v>
      </c>
      <c r="C42" s="914"/>
      <c r="D42" s="914"/>
      <c r="E42" s="914"/>
      <c r="F42" s="424" t="s">
        <v>978</v>
      </c>
      <c r="G42" s="276"/>
      <c r="H42" s="165">
        <f>SUM(H36:H41)</f>
        <v>574.09</v>
      </c>
    </row>
    <row r="43" spans="2:8">
      <c r="B43" s="35"/>
      <c r="C43" s="23"/>
      <c r="D43" s="23"/>
      <c r="E43" s="23"/>
      <c r="F43" s="422" t="s">
        <v>979</v>
      </c>
      <c r="G43" s="276"/>
      <c r="H43" s="165"/>
    </row>
    <row r="44" spans="2:8">
      <c r="B44" s="917" t="s">
        <v>1133</v>
      </c>
      <c r="C44" s="918"/>
      <c r="D44" s="918"/>
      <c r="E44" s="920"/>
      <c r="F44" s="423" t="s">
        <v>979</v>
      </c>
      <c r="G44" s="277"/>
      <c r="H44" s="173"/>
    </row>
    <row r="45" spans="2:8">
      <c r="B45" s="552" t="s">
        <v>981</v>
      </c>
      <c r="C45" s="159"/>
      <c r="D45" s="362"/>
      <c r="E45" s="284"/>
      <c r="F45" s="153" t="s">
        <v>1134</v>
      </c>
      <c r="G45" s="274"/>
      <c r="H45" s="36"/>
    </row>
    <row r="46" spans="2:8">
      <c r="B46" s="35" t="str">
        <f>IFERROR(VLOOKUP(D46,Calcs!B:G,3,FALSE),"")</f>
        <v>Petzel - Full Body Youth Harness (Supports Up to 65 lbs)</v>
      </c>
      <c r="C46" s="23"/>
      <c r="D46" s="144" t="s">
        <v>828</v>
      </c>
      <c r="E46" s="23"/>
      <c r="F46" s="259">
        <f>IFERROR(VLOOKUP('Summit Flex Proposal'!D46,Calcs!$B$260:$F$295,5,FALSE),"")</f>
        <v>1</v>
      </c>
      <c r="G46" s="260">
        <f>IFERROR(VLOOKUP(D46,Calcs!B:N,12,FALSE),"")</f>
        <v>163.35</v>
      </c>
      <c r="H46" s="165">
        <f>IFERROR(VLOOKUP(D46,Calcs!B:AB,11,FALSE),"")</f>
        <v>163.35</v>
      </c>
    </row>
    <row r="47" spans="2:8">
      <c r="B47" s="35" t="str">
        <f>IFERROR(VLOOKUP(D47,Calcs!B:G,3,FALSE),"")</f>
        <v/>
      </c>
      <c r="C47" s="23"/>
      <c r="D47" s="144" t="s">
        <v>1007</v>
      </c>
      <c r="E47" s="23"/>
      <c r="F47" s="259" t="str">
        <f>IFERROR(VLOOKUP('Summit Flex Proposal'!D47,Calcs!$B$260:$F$295,5,FALSE),"")</f>
        <v/>
      </c>
      <c r="G47" s="260" t="str">
        <f>IFERROR(VLOOKUP(D47,Calcs!B:N,12,FALSE),"")</f>
        <v/>
      </c>
      <c r="H47" s="165" t="str">
        <f>IFERROR(VLOOKUP(D47,Calcs!B:AB,11,FALSE),"")</f>
        <v/>
      </c>
    </row>
    <row r="48" spans="2:8" ht="14.25" customHeight="1">
      <c r="B48" s="35" t="str">
        <f>IFERROR(VLOOKUP(D48,Calcs!B:G,3,FALSE),"")</f>
        <v/>
      </c>
      <c r="C48" s="23"/>
      <c r="D48" s="144" t="s">
        <v>781</v>
      </c>
      <c r="E48" s="23"/>
      <c r="F48" s="259" t="str">
        <f>IFERROR(VLOOKUP('Summit Flex Proposal'!D48,Calcs!$B$260:$F$295,5,FALSE),"")</f>
        <v/>
      </c>
      <c r="G48" s="260" t="str">
        <f>IFERROR(VLOOKUP(D48,Calcs!B:N,12,FALSE),"")</f>
        <v/>
      </c>
      <c r="H48" s="165" t="str">
        <f>IFERROR(VLOOKUP(D48,Calcs!B:AB,11,FALSE),"")</f>
        <v/>
      </c>
    </row>
    <row r="49" spans="2:8" ht="14.25" customHeight="1">
      <c r="B49" s="35" t="str">
        <f>IFERROR(VLOOKUP(D49,Calcs!B:G,3,FALSE),"")</f>
        <v>Equipment Rack (Frame Mounted)</v>
      </c>
      <c r="C49" s="23"/>
      <c r="D49" s="144" t="s">
        <v>822</v>
      </c>
      <c r="E49" s="23"/>
      <c r="F49" s="259">
        <f>IFERROR(VLOOKUP('Summit Flex Proposal'!D49,Calcs!$B$260:$F$295,5,FALSE),"")</f>
        <v>1</v>
      </c>
      <c r="G49" s="260">
        <f>IFERROR(VLOOKUP(D49,Calcs!B:N,12,FALSE),"")</f>
        <v>107.25</v>
      </c>
      <c r="H49" s="165">
        <f>IFERROR(VLOOKUP(D49,Calcs!B:AB,11,FALSE),"")</f>
        <v>107.25</v>
      </c>
    </row>
    <row r="50" spans="2:8" ht="14.25" customHeight="1">
      <c r="B50" s="35" t="str">
        <f>IFERROR(VLOOKUP(D50,Calcs!B:G,3,FALSE),"")</f>
        <v/>
      </c>
      <c r="C50" s="23"/>
      <c r="D50" s="144" t="s">
        <v>1135</v>
      </c>
      <c r="E50" s="23"/>
      <c r="F50" s="259" t="str">
        <f>IFERROR(VLOOKUP('Summit Flex Proposal'!D50,Calcs!$B$260:$F$295,5,FALSE),"")</f>
        <v/>
      </c>
      <c r="G50" s="260" t="str">
        <f>IFERROR(VLOOKUP(D50,Calcs!B:N,12,FALSE),"")</f>
        <v/>
      </c>
      <c r="H50" s="165" t="str">
        <f>IFERROR(VLOOKUP(D50,Calcs!B:AB,11,FALSE),"")</f>
        <v/>
      </c>
    </row>
    <row r="51" spans="2:8" ht="120">
      <c r="B51" s="565" t="str">
        <f>IFERROR(VLOOKUP(D51,Calcs!B:G,3,FALSE),"")</f>
        <v>Flex Leather Belt Bundle (7 Belts - All Sizes)
  (1) XX Small Leather Belt
  (1) X Small Leather Belt
  (1) Small Leather Belt
  (1) Medium Leather Belt
  (1) Large Leather Belt
  (1) X Large Leather Belt
  (1) XX Large Leather Belt</v>
      </c>
      <c r="C51" s="23"/>
      <c r="D51" s="566" t="s">
        <v>793</v>
      </c>
      <c r="E51" s="23"/>
      <c r="F51" s="259">
        <f>IFERROR(VLOOKUP('Summit Flex Proposal'!D51,Calcs!$B$260:$F$295,5,FALSE),"")</f>
        <v>1</v>
      </c>
      <c r="G51" s="260">
        <f>IFERROR(VLOOKUP(D51,Calcs!B:N,12,FALSE),"")</f>
        <v>1470</v>
      </c>
      <c r="H51" s="165">
        <f>IFERROR(VLOOKUP(D51,Calcs!B:AB,11,FALSE),"")</f>
        <v>1470</v>
      </c>
    </row>
    <row r="52" spans="2:8" ht="14.25" customHeight="1">
      <c r="B52" s="35" t="str">
        <f>IFERROR(VLOOKUP(D52,Calcs!B:G,3,FALSE),"")</f>
        <v>Leather Belt (Size - TBD)</v>
      </c>
      <c r="C52" s="23"/>
      <c r="D52" s="144" t="s">
        <v>795</v>
      </c>
      <c r="E52" s="23"/>
      <c r="F52" s="259">
        <f>IFERROR(VLOOKUP('Summit Flex Proposal'!D52,Calcs!$B$260:$F$295,5,FALSE),"")</f>
        <v>2</v>
      </c>
      <c r="G52" s="260">
        <f>IFERROR(VLOOKUP(D52,Calcs!B:N,12,FALSE),"")</f>
        <v>453.76</v>
      </c>
      <c r="H52" s="165">
        <f>IFERROR(VLOOKUP(D52,Calcs!B:AB,11,FALSE),"")</f>
        <v>226.88</v>
      </c>
    </row>
    <row r="53" spans="2:8" ht="14.25" customHeight="1">
      <c r="B53" s="35" t="str">
        <f>IFERROR(VLOOKUP(D53,Calcs!B:G,3,FALSE),"")</f>
        <v/>
      </c>
      <c r="C53" s="353"/>
      <c r="D53" s="144" t="s">
        <v>797</v>
      </c>
      <c r="E53" s="23"/>
      <c r="F53" s="259" t="str">
        <f>IFERROR(VLOOKUP('Summit Flex Proposal'!D53,Calcs!$B$260:$F$295,5,FALSE),"")</f>
        <v/>
      </c>
      <c r="G53" s="260" t="str">
        <f>IFERROR(VLOOKUP(D53,Calcs!B:N,12,FALSE),"")</f>
        <v/>
      </c>
      <c r="H53" s="165" t="str">
        <f>IFERROR(VLOOKUP(D53,Calcs!B:AB,11,FALSE),"")</f>
        <v/>
      </c>
    </row>
    <row r="54" spans="2:8" ht="14.25" customHeight="1">
      <c r="B54" s="35" t="str">
        <f>IFERROR(VLOOKUP(D54,Calcs!B:G,3,FALSE),"")</f>
        <v/>
      </c>
      <c r="C54" s="353"/>
      <c r="D54" s="144" t="s">
        <v>799</v>
      </c>
      <c r="E54" s="23"/>
      <c r="F54" s="259" t="str">
        <f>IFERROR(VLOOKUP('Summit Flex Proposal'!D54,Calcs!$B$260:$F$295,5,FALSE),"")</f>
        <v/>
      </c>
      <c r="G54" s="260" t="str">
        <f>IFERROR(VLOOKUP(D54,Calcs!B:N,12,FALSE),"")</f>
        <v/>
      </c>
      <c r="H54" s="165" t="str">
        <f>IFERROR(VLOOKUP(D54,Calcs!B:AB,11,FALSE),"")</f>
        <v/>
      </c>
    </row>
    <row r="55" spans="2:8" ht="14.25" customHeight="1">
      <c r="B55" s="35" t="str">
        <f>IFERROR(VLOOKUP(D55,Calcs!B:G,3,FALSE),"")</f>
        <v/>
      </c>
      <c r="C55" s="353"/>
      <c r="D55" s="144" t="s">
        <v>801</v>
      </c>
      <c r="E55" s="23"/>
      <c r="F55" s="259" t="str">
        <f>IFERROR(VLOOKUP('Summit Flex Proposal'!D55,Calcs!$B$260:$F$295,5,FALSE),"")</f>
        <v/>
      </c>
      <c r="G55" s="260" t="str">
        <f>IFERROR(VLOOKUP(D55,Calcs!B:N,12,FALSE),"")</f>
        <v/>
      </c>
      <c r="H55" s="165" t="str">
        <f>IFERROR(VLOOKUP(D55,Calcs!B:AB,11,FALSE),"")</f>
        <v/>
      </c>
    </row>
    <row r="56" spans="2:8" ht="14.25" customHeight="1">
      <c r="B56" s="35" t="str">
        <f>IFERROR(VLOOKUP(D56,Calcs!B:G,3,FALSE),"")</f>
        <v/>
      </c>
      <c r="C56" s="353"/>
      <c r="D56" s="144" t="s">
        <v>803</v>
      </c>
      <c r="E56" s="23"/>
      <c r="F56" s="259" t="str">
        <f>IFERROR(VLOOKUP('Summit Flex Proposal'!D56,Calcs!$B$260:$F$295,5,FALSE),"")</f>
        <v/>
      </c>
      <c r="G56" s="260" t="str">
        <f>IFERROR(VLOOKUP(D56,Calcs!B:N,12,FALSE),"")</f>
        <v/>
      </c>
      <c r="H56" s="165" t="str">
        <f>IFERROR(VLOOKUP(D56,Calcs!B:AB,11,FALSE),"")</f>
        <v/>
      </c>
    </row>
    <row r="57" spans="2:8" ht="14.25" customHeight="1">
      <c r="B57" s="35" t="str">
        <f>IFERROR(VLOOKUP(D57,Calcs!B:G,3,FALSE),"")</f>
        <v/>
      </c>
      <c r="C57" s="353"/>
      <c r="D57" s="144" t="s">
        <v>805</v>
      </c>
      <c r="E57" s="23"/>
      <c r="F57" s="259" t="str">
        <f>IFERROR(VLOOKUP('Summit Flex Proposal'!D57,Calcs!$B$260:$F$295,5,FALSE),"")</f>
        <v/>
      </c>
      <c r="G57" s="260" t="str">
        <f>IFERROR(VLOOKUP(D57,Calcs!B:N,12,FALSE),"")</f>
        <v/>
      </c>
      <c r="H57" s="165" t="str">
        <f>IFERROR(VLOOKUP(D57,Calcs!B:AB,11,FALSE),"")</f>
        <v/>
      </c>
    </row>
    <row r="58" spans="2:8" ht="14.25" customHeight="1">
      <c r="B58" s="35" t="str">
        <f>IFERROR(VLOOKUP(D58,Calcs!B:G,3,FALSE),"")</f>
        <v>Leather Belt (Size - X Large)</v>
      </c>
      <c r="C58" s="353"/>
      <c r="D58" s="144" t="s">
        <v>807</v>
      </c>
      <c r="E58" s="23"/>
      <c r="F58" s="259">
        <f>IFERROR(VLOOKUP('Summit Flex Proposal'!D58,Calcs!$B$260:$F$295,5,FALSE),"")</f>
        <v>1</v>
      </c>
      <c r="G58" s="260">
        <f>IFERROR(VLOOKUP(D58,Calcs!B:N,12,FALSE),"")</f>
        <v>226.88</v>
      </c>
      <c r="H58" s="165">
        <f>IFERROR(VLOOKUP(D58,Calcs!B:AB,11,FALSE),"")</f>
        <v>226.88</v>
      </c>
    </row>
    <row r="59" spans="2:8" ht="14.25" customHeight="1">
      <c r="B59" s="35" t="str">
        <f>IFERROR(VLOOKUP(D59,Calcs!B:G,3,FALSE),"")</f>
        <v/>
      </c>
      <c r="C59" s="353"/>
      <c r="D59" s="144" t="s">
        <v>809</v>
      </c>
      <c r="E59" s="23"/>
      <c r="F59" s="259" t="str">
        <f>IFERROR(VLOOKUP('Summit Flex Proposal'!D59,Calcs!$B$260:$F$295,5,FALSE),"")</f>
        <v/>
      </c>
      <c r="G59" s="260" t="str">
        <f>IFERROR(VLOOKUP(D59,Calcs!B:N,12,FALSE),"")</f>
        <v/>
      </c>
      <c r="H59" s="165" t="str">
        <f>IFERROR(VLOOKUP(D59,Calcs!B:AB,11,FALSE),"")</f>
        <v/>
      </c>
    </row>
    <row r="60" spans="2:8" ht="14.25" customHeight="1">
      <c r="B60" s="352" t="str">
        <f>IF(F60&gt;0.99,"Passthrough Freight Charge for Belt(s) / Boot(s)","")</f>
        <v>Passthrough Freight Charge for Belt(s) / Boot(s)</v>
      </c>
      <c r="C60" s="23"/>
      <c r="D60" s="144" t="s">
        <v>628</v>
      </c>
      <c r="E60" s="23"/>
      <c r="F60" s="259">
        <f>IF(SUM(F50:F59)&gt;0.99,1,0)</f>
        <v>1</v>
      </c>
      <c r="G60" s="260">
        <f>IF(F60&gt;0.9,95,"")</f>
        <v>95</v>
      </c>
      <c r="H60" s="165">
        <f>IFERROR(VLOOKUP(D60,Calcs!B:AB,11,FALSE),"")</f>
        <v>0</v>
      </c>
    </row>
    <row r="61" spans="2:8" ht="14.25" customHeight="1">
      <c r="B61" s="35" t="str">
        <f>IFERROR(VLOOKUP(D61,Calcs!B:G,3,FALSE),"")</f>
        <v>TheraBungee - 10 Piece Bungee Set</v>
      </c>
      <c r="C61" s="23"/>
      <c r="D61" s="144" t="s">
        <v>824</v>
      </c>
      <c r="E61" s="241" t="s">
        <v>1136</v>
      </c>
      <c r="F61" s="259">
        <f>IFERROR(VLOOKUP('Summit Flex Proposal'!D61,Calcs!$B$260:$F$295,5,FALSE),"")</f>
        <v>1</v>
      </c>
      <c r="G61" s="260">
        <f>IFERROR(VLOOKUP(D61,Calcs!B:N,12,FALSE),"")</f>
        <v>297.07</v>
      </c>
      <c r="H61" s="165">
        <f>IFERROR(VLOOKUP(D61,Calcs!B:AB,11,FALSE),"")</f>
        <v>297.07</v>
      </c>
    </row>
    <row r="62" spans="2:8" ht="14.25" customHeight="1">
      <c r="B62" s="35" t="str">
        <f>IFERROR(VLOOKUP(D62,Calcs!B:G,3,FALSE),"")</f>
        <v/>
      </c>
      <c r="C62" s="23"/>
      <c r="D62" s="144" t="s">
        <v>830</v>
      </c>
      <c r="E62" s="23"/>
      <c r="F62" s="259" t="str">
        <f>IFERROR(VLOOKUP('Summit Flex Proposal'!D62,Calcs!$B$260:$F$295,5,FALSE),"")</f>
        <v/>
      </c>
      <c r="G62" s="260" t="str">
        <f>IFERROR(VLOOKUP(D62,Calcs!B:N,12,FALSE),"")</f>
        <v/>
      </c>
      <c r="H62" s="165" t="str">
        <f>IFERROR(VLOOKUP(D62,Calcs!B:AB,11,FALSE),"")</f>
        <v/>
      </c>
    </row>
    <row r="63" spans="2:8">
      <c r="B63" s="35" t="str">
        <f>IFERROR(VLOOKUP(D63,Calcs!B:G,3,FALSE),"")</f>
        <v>Standard Equipment Set - 82 Elements</v>
      </c>
      <c r="C63" s="23"/>
      <c r="D63" s="144" t="s">
        <v>729</v>
      </c>
      <c r="E63" s="23"/>
      <c r="F63" s="259">
        <f>IFERROR(VLOOKUP('Summit Flex Proposal'!D63,Calcs!$B$260:$F$295,5,FALSE),"")</f>
        <v>1</v>
      </c>
      <c r="G63" s="260">
        <f>IFERROR(VLOOKUP(D63,Calcs!B:N,12,FALSE),"")</f>
        <v>1649.99</v>
      </c>
      <c r="H63" s="165">
        <f>IFERROR(VLOOKUP(D63,Calcs!B:AB,11,FALSE),"")</f>
        <v>1649.99</v>
      </c>
    </row>
    <row r="64" spans="2:8">
      <c r="B64" s="35" t="str">
        <f>IFERROR(VLOOKUP(D64,Calcs!B:G,3,FALSE),"")</f>
        <v/>
      </c>
      <c r="C64" s="23"/>
      <c r="D64" s="144" t="s">
        <v>833</v>
      </c>
      <c r="E64" s="241" t="s">
        <v>1136</v>
      </c>
      <c r="F64" s="259" t="str">
        <f>IFERROR(VLOOKUP('Summit Flex Proposal'!D64,Calcs!$B$260:$F$295,5,FALSE),"")</f>
        <v/>
      </c>
      <c r="G64" s="260" t="str">
        <f>IFERROR(VLOOKUP(D64,Calcs!B:N,12,FALSE),"")</f>
        <v/>
      </c>
      <c r="H64" s="165" t="str">
        <f>IFERROR(VLOOKUP(D64,Calcs!B:AB,11,FALSE),"")</f>
        <v/>
      </c>
    </row>
    <row r="65" spans="2:8">
      <c r="B65" s="913" t="s">
        <v>405</v>
      </c>
      <c r="C65" s="914"/>
      <c r="D65" s="914"/>
      <c r="E65" s="915"/>
      <c r="F65" s="105" t="s">
        <v>978</v>
      </c>
      <c r="G65" s="166"/>
      <c r="H65" s="167">
        <f>SUM(H46:H64)</f>
        <v>4141.42</v>
      </c>
    </row>
    <row r="66" spans="2:8">
      <c r="B66" s="37"/>
      <c r="C66" s="23"/>
      <c r="D66" s="23"/>
      <c r="E66" s="23"/>
      <c r="F66" s="103" t="s">
        <v>979</v>
      </c>
      <c r="G66" s="164"/>
      <c r="H66" s="165"/>
    </row>
    <row r="67" spans="2:8">
      <c r="B67" s="38" t="s">
        <v>1137</v>
      </c>
      <c r="C67" s="25"/>
      <c r="D67" s="25"/>
      <c r="E67" s="25"/>
      <c r="F67" s="152" t="s">
        <v>979</v>
      </c>
      <c r="G67" s="17"/>
      <c r="H67" s="39"/>
    </row>
    <row r="68" spans="2:8">
      <c r="B68" s="35" t="s">
        <v>1138</v>
      </c>
      <c r="C68" s="23"/>
      <c r="D68" s="23" t="s">
        <v>1139</v>
      </c>
      <c r="E68" s="23"/>
      <c r="F68" s="205">
        <v>1</v>
      </c>
      <c r="G68" s="160"/>
      <c r="H68" s="104" cm="1">
        <f t="array" ref="H68">_xlfn.IFS(Discovery!B44="Cardinal",0,Discovery!B44="Prismatic",350,Discovery!B44="Prismatic-Other",Discovery!B45)</f>
        <v>0</v>
      </c>
    </row>
    <row r="69" spans="2:8">
      <c r="B69" s="35"/>
      <c r="C69" s="23"/>
      <c r="D69" s="23"/>
      <c r="E69" s="23"/>
      <c r="F69" s="150" t="s">
        <v>979</v>
      </c>
      <c r="G69" s="56"/>
      <c r="H69" s="36"/>
    </row>
    <row r="70" spans="2:8">
      <c r="B70" s="162"/>
      <c r="C70" s="40"/>
      <c r="D70" s="40"/>
      <c r="E70" s="41"/>
      <c r="F70" s="905" t="s">
        <v>960</v>
      </c>
      <c r="G70" s="906"/>
      <c r="H70" s="434">
        <f>H24+H32+H42+H65+H68</f>
        <v>11749.385</v>
      </c>
    </row>
    <row r="71" spans="2:8" ht="14.25" customHeight="1">
      <c r="B71" s="31"/>
      <c r="C71" s="31"/>
      <c r="D71" s="31"/>
      <c r="E71" s="31"/>
      <c r="F71" s="907" t="s">
        <v>1039</v>
      </c>
      <c r="G71" s="908"/>
      <c r="H71" s="127">
        <f>Calcs!Q269</f>
        <v>0</v>
      </c>
    </row>
    <row r="72" spans="2:8" ht="14.45" customHeight="1">
      <c r="B72" s="279"/>
      <c r="C72" s="279"/>
      <c r="D72" s="279"/>
      <c r="E72" s="31"/>
      <c r="F72" s="909" t="str">
        <f>IFERROR(IF(Calcs!Q269&gt;0.01,"DISCOUNT EXPIRATION:",""),"")</f>
        <v/>
      </c>
      <c r="G72" s="910"/>
      <c r="H72" s="435" t="str">
        <f>IFERROR(IF(Calcs!Q269&gt;0.01,(H9+6),""),"")</f>
        <v/>
      </c>
    </row>
    <row r="73" spans="2:8" ht="14.25" customHeight="1">
      <c r="B73" s="279"/>
      <c r="C73" s="279"/>
      <c r="D73" s="279"/>
      <c r="E73" s="31"/>
      <c r="F73" s="822"/>
      <c r="G73" s="823"/>
      <c r="H73" s="127"/>
    </row>
    <row r="74" spans="2:8" ht="14.25" customHeight="1">
      <c r="B74" s="829" t="s">
        <v>1040</v>
      </c>
      <c r="C74" s="923"/>
      <c r="D74" s="923"/>
      <c r="E74" s="15"/>
      <c r="F74" s="909" t="s">
        <v>1041</v>
      </c>
      <c r="G74" s="910"/>
      <c r="H74" s="235" t="str">
        <f>IF(Discovery!C19="TBD","TBD",Discovery!C19)</f>
        <v>TBD</v>
      </c>
    </row>
    <row r="75" spans="2:8">
      <c r="B75" s="923"/>
      <c r="C75" s="923"/>
      <c r="D75" s="923"/>
      <c r="E75" s="15"/>
      <c r="F75" s="909" t="s">
        <v>1042</v>
      </c>
      <c r="G75" s="910"/>
      <c r="H75" s="235">
        <f>IF(Discovery!C24="TBD","TBD",Discovery!C24)</f>
        <v>859.14</v>
      </c>
    </row>
    <row r="76" spans="2:8" ht="14.25" customHeight="1">
      <c r="B76" s="923"/>
      <c r="C76" s="923"/>
      <c r="D76" s="923"/>
      <c r="E76" s="15"/>
      <c r="F76" s="909" t="s">
        <v>1140</v>
      </c>
      <c r="G76" s="910"/>
      <c r="H76" s="235">
        <f>IF(Discovery!C25="TBD","TBD",Discovery!C25)</f>
        <v>294.07</v>
      </c>
    </row>
    <row r="77" spans="2:8" ht="14.25" customHeight="1">
      <c r="B77" s="923"/>
      <c r="C77" s="923"/>
      <c r="D77" s="923"/>
      <c r="E77" s="15"/>
      <c r="F77" s="827" t="s">
        <v>962</v>
      </c>
      <c r="G77" s="828"/>
      <c r="H77" s="128">
        <f>H70-H71+(IF(H74="TBD",0,H74))+(IF(H75="TBD",0,H75))+(IF(H76="TBD",0,H76))</f>
        <v>12902.594999999999</v>
      </c>
    </row>
    <row r="78" spans="2:8" ht="14.25" customHeight="1">
      <c r="B78" s="923"/>
      <c r="C78" s="923"/>
      <c r="D78" s="923"/>
      <c r="E78" s="15"/>
      <c r="F78" s="827" t="s">
        <v>1044</v>
      </c>
      <c r="G78" s="828"/>
      <c r="H78" s="128">
        <f>H77/2</f>
        <v>6451.2974999999997</v>
      </c>
    </row>
    <row r="79" spans="2:8" ht="15" customHeight="1">
      <c r="B79" s="15"/>
      <c r="C79" s="15"/>
      <c r="D79" s="15"/>
      <c r="E79" s="15"/>
      <c r="F79" s="263">
        <v>1</v>
      </c>
      <c r="G79" s="262"/>
      <c r="H79" s="264"/>
    </row>
    <row r="80" spans="2:8" ht="22.5" customHeight="1">
      <c r="B80" s="833" t="s">
        <v>964</v>
      </c>
      <c r="C80" s="833"/>
      <c r="D80" s="833"/>
      <c r="E80" s="833"/>
      <c r="F80" s="833"/>
      <c r="G80" s="833"/>
      <c r="H80" s="833"/>
    </row>
    <row r="81" spans="1:9">
      <c r="B81" s="833"/>
      <c r="C81" s="833"/>
      <c r="D81" s="833"/>
      <c r="E81" s="833"/>
      <c r="F81" s="833"/>
      <c r="G81" s="833"/>
      <c r="H81" s="833"/>
    </row>
    <row r="82" spans="1:9" ht="15" customHeight="1">
      <c r="B82" s="15"/>
      <c r="C82" s="15"/>
      <c r="D82" s="15"/>
      <c r="E82" s="15"/>
      <c r="F82" s="263"/>
      <c r="G82" s="262"/>
      <c r="H82" s="264"/>
    </row>
    <row r="83" spans="1:9" ht="15" customHeight="1">
      <c r="B83" s="161" t="s">
        <v>965</v>
      </c>
      <c r="C83" s="32"/>
      <c r="D83" s="32"/>
      <c r="E83" s="32"/>
      <c r="F83" s="158"/>
      <c r="G83" s="32"/>
      <c r="H83" s="32"/>
    </row>
    <row r="84" spans="1:9" ht="15" customHeight="1">
      <c r="C84" s="15"/>
      <c r="D84" s="15"/>
      <c r="E84" s="15"/>
      <c r="F84" s="156"/>
      <c r="G84" s="15"/>
      <c r="H84" s="15"/>
    </row>
    <row r="85" spans="1:9" ht="15" customHeight="1">
      <c r="B85" s="161"/>
      <c r="C85" s="15"/>
      <c r="D85" s="15"/>
      <c r="E85" s="15"/>
      <c r="F85" s="156"/>
      <c r="G85" s="15"/>
      <c r="H85" s="15"/>
    </row>
    <row r="86" spans="1:9" ht="15" customHeight="1">
      <c r="B86" s="922"/>
      <c r="C86" s="922"/>
      <c r="D86" s="922"/>
      <c r="E86" s="922"/>
      <c r="F86" s="922"/>
      <c r="G86" s="922"/>
      <c r="H86" s="922"/>
    </row>
    <row r="87" spans="1:9" ht="15" customHeight="1">
      <c r="B87" s="280" t="s">
        <v>966</v>
      </c>
      <c r="C87" s="156"/>
      <c r="D87" s="419" t="s">
        <v>967</v>
      </c>
      <c r="E87" s="141"/>
      <c r="F87" s="156"/>
      <c r="G87" s="419" t="s">
        <v>968</v>
      </c>
      <c r="H87" s="141"/>
    </row>
    <row r="88" spans="1:9" ht="15" customHeight="1">
      <c r="B88" s="15"/>
      <c r="C88" s="15"/>
      <c r="D88" s="15"/>
      <c r="E88" s="15"/>
      <c r="F88" s="156"/>
      <c r="G88" s="15"/>
      <c r="H88" s="15"/>
    </row>
    <row r="89" spans="1:9">
      <c r="B89" s="921" t="s">
        <v>1141</v>
      </c>
      <c r="C89" s="921"/>
      <c r="D89" s="921"/>
      <c r="E89" s="921"/>
      <c r="F89" s="921"/>
      <c r="G89" s="921"/>
      <c r="H89" s="921"/>
    </row>
    <row r="91" spans="1:9"/>
    <row r="92" spans="1:9" ht="17.25" customHeight="1">
      <c r="A92" s="141"/>
      <c r="I92" s="141"/>
    </row>
    <row r="93" spans="1:9" s="141" customFormat="1">
      <c r="A93"/>
      <c r="B93"/>
      <c r="C93"/>
      <c r="D93"/>
      <c r="E93"/>
      <c r="G93"/>
      <c r="H93"/>
      <c r="I93"/>
    </row>
    <row r="94" spans="1:9" ht="14.25" customHeight="1"/>
    <row r="95" spans="1:9"/>
    <row r="96" spans="1:9" ht="15" customHeight="1">
      <c r="I96" s="334"/>
    </row>
  </sheetData>
  <autoFilter ref="F20:H79" xr:uid="{E937501A-BE74-4B69-AE33-1504B4F26655}"/>
  <mergeCells count="31">
    <mergeCell ref="B89:H89"/>
    <mergeCell ref="F77:G77"/>
    <mergeCell ref="B86:C86"/>
    <mergeCell ref="D86:F86"/>
    <mergeCell ref="G86:H86"/>
    <mergeCell ref="F78:G78"/>
    <mergeCell ref="B74:D78"/>
    <mergeCell ref="F74:G74"/>
    <mergeCell ref="F76:G76"/>
    <mergeCell ref="F75:G75"/>
    <mergeCell ref="B80:H81"/>
    <mergeCell ref="F70:G70"/>
    <mergeCell ref="F71:G71"/>
    <mergeCell ref="F73:G73"/>
    <mergeCell ref="F72:G72"/>
    <mergeCell ref="B23:E23"/>
    <mergeCell ref="B24:E24"/>
    <mergeCell ref="B65:E65"/>
    <mergeCell ref="B32:E32"/>
    <mergeCell ref="B42:E42"/>
    <mergeCell ref="B29:E29"/>
    <mergeCell ref="B26:E26"/>
    <mergeCell ref="B34:E34"/>
    <mergeCell ref="B44:E44"/>
    <mergeCell ref="B17:H18"/>
    <mergeCell ref="B16:H16"/>
    <mergeCell ref="F8:G8"/>
    <mergeCell ref="F9:G9"/>
    <mergeCell ref="F10:G10"/>
    <mergeCell ref="F11:G11"/>
    <mergeCell ref="B14:H14"/>
  </mergeCells>
  <conditionalFormatting sqref="H71">
    <cfRule type="cellIs" dxfId="30" priority="10" operator="greaterThan">
      <formula>1</formula>
    </cfRule>
  </conditionalFormatting>
  <conditionalFormatting sqref="H72:H73">
    <cfRule type="notContainsBlanks" dxfId="29" priority="9">
      <formula>LEN(TRIM(H72))&gt;0</formula>
    </cfRule>
  </conditionalFormatting>
  <conditionalFormatting sqref="F72:G72 F73">
    <cfRule type="notContainsBlanks" dxfId="28" priority="8">
      <formula>LEN(TRIM(F72))&gt;0</formula>
    </cfRule>
  </conditionalFormatting>
  <conditionalFormatting sqref="F71">
    <cfRule type="expression" dxfId="27" priority="7">
      <formula>$H$71&gt;1</formula>
    </cfRule>
  </conditionalFormatting>
  <conditionalFormatting sqref="F8:G8">
    <cfRule type="containsText" dxfId="26" priority="2" operator="containsText" text="INVOICE">
      <formula>NOT(ISERROR(SEARCH("INVOICE",F8)))</formula>
    </cfRule>
  </conditionalFormatting>
  <printOptions horizontalCentered="1"/>
  <pageMargins left="0.25" right="0.25" top="0.75" bottom="0.75" header="0.3" footer="0.3"/>
  <pageSetup scale="52"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C963-879C-4438-AAB4-A68680D7D131}">
  <sheetPr codeName="Sheet15" filterMode="1">
    <tabColor rgb="FF00B0F0"/>
    <pageSetUpPr fitToPage="1"/>
  </sheetPr>
  <dimension ref="A1:Y88"/>
  <sheetViews>
    <sheetView showZeros="0" zoomScale="90" zoomScaleNormal="90" workbookViewId="0">
      <selection activeCell="E29" sqref="E29"/>
    </sheetView>
  </sheetViews>
  <sheetFormatPr defaultRowHeight="15" customHeight="1"/>
  <cols>
    <col min="1" max="1" width="5.42578125" customWidth="1"/>
    <col min="2" max="2" width="48.85546875" bestFit="1" customWidth="1"/>
    <col min="3" max="3" width="12.42578125" customWidth="1"/>
    <col min="4" max="4" width="21.28515625" bestFit="1" customWidth="1"/>
    <col min="5" max="5" width="20" bestFit="1" customWidth="1"/>
    <col min="6" max="6" width="7.140625" style="141" bestFit="1" customWidth="1"/>
    <col min="7" max="7" width="19.140625" bestFit="1" customWidth="1"/>
    <col min="8" max="8" width="21.85546875" customWidth="1"/>
    <col min="10" max="10" width="35.42578125" bestFit="1" customWidth="1"/>
    <col min="12" max="12" width="12" customWidth="1"/>
    <col min="13" max="13" width="14" customWidth="1"/>
    <col min="14" max="14" width="14.28515625" bestFit="1" customWidth="1"/>
    <col min="15" max="15" width="26.5703125" bestFit="1" customWidth="1"/>
    <col min="17" max="17" width="12.7109375" customWidth="1"/>
    <col min="18" max="18" width="13.7109375" customWidth="1"/>
  </cols>
  <sheetData>
    <row r="1" spans="2:11" ht="21">
      <c r="B1" s="12" t="s">
        <v>938</v>
      </c>
      <c r="C1" s="10"/>
      <c r="D1" s="10"/>
      <c r="E1" s="9"/>
      <c r="F1" s="154"/>
      <c r="G1" s="18"/>
      <c r="H1" s="19"/>
      <c r="J1" s="489" t="s">
        <v>939</v>
      </c>
      <c r="K1" s="490" t="str">
        <f ca="1">B10&amp;" - Summit Flex- PSFv73 - "&amp;TEXT(H9,"MMDDYYYY")</f>
        <v>Soar Autism Center - South Fort Collins - Summit Flex- PSFv73 - 07222026</v>
      </c>
    </row>
    <row r="2" spans="2:11">
      <c r="B2" s="23" t="s">
        <v>940</v>
      </c>
      <c r="C2" s="23"/>
      <c r="D2" s="16"/>
      <c r="E2" s="23"/>
      <c r="F2" s="155"/>
      <c r="G2" s="15"/>
      <c r="H2" s="15"/>
      <c r="J2" s="489" t="s">
        <v>941</v>
      </c>
      <c r="K2" s="490" t="str">
        <f ca="1">B10&amp;" - Summit Flex - Proposal "&amp;F9&amp;" - "&amp;TEXT(H9,"MMDDYYYY")</f>
        <v>Soar Autism Center - South Fort Collins - Summit Flex - Proposal FLEXPRO-SS-260722-001 - 07222026</v>
      </c>
    </row>
    <row r="3" spans="2:11">
      <c r="B3" s="23" t="s">
        <v>942</v>
      </c>
      <c r="C3" s="23"/>
      <c r="D3" s="16"/>
      <c r="E3" s="23"/>
      <c r="F3" s="156"/>
      <c r="G3" s="15"/>
      <c r="H3" s="15"/>
    </row>
    <row r="4" spans="2:11">
      <c r="B4" s="23" t="s">
        <v>943</v>
      </c>
      <c r="C4" s="24"/>
      <c r="D4" s="16"/>
      <c r="E4" s="23"/>
    </row>
    <row r="5" spans="2:11">
      <c r="B5" s="16" t="s">
        <v>944</v>
      </c>
      <c r="C5" s="16"/>
      <c r="D5" s="16"/>
      <c r="E5" s="23"/>
    </row>
    <row r="6" spans="2:11">
      <c r="B6" t="s">
        <v>945</v>
      </c>
      <c r="C6" s="23"/>
      <c r="D6" s="16"/>
      <c r="E6" s="23"/>
    </row>
    <row r="7" spans="2:11">
      <c r="B7" s="16"/>
      <c r="C7" s="16"/>
      <c r="D7" s="16"/>
      <c r="E7" s="23"/>
    </row>
    <row r="8" spans="2:11">
      <c r="B8" s="238" t="s">
        <v>946</v>
      </c>
      <c r="C8" s="236"/>
      <c r="D8" s="236"/>
      <c r="E8" s="237"/>
      <c r="F8" s="899" t="s">
        <v>1123</v>
      </c>
      <c r="G8" s="900"/>
      <c r="H8" s="42" t="s">
        <v>948</v>
      </c>
    </row>
    <row r="9" spans="2:11" ht="14.25" customHeight="1">
      <c r="B9" s="16" t="str">
        <f>Discovery!B2</f>
        <v>Tyler Galiotto</v>
      </c>
      <c r="C9" s="23"/>
      <c r="D9" s="23"/>
      <c r="E9" s="15"/>
      <c r="F9" s="863" t="str">
        <f ca="1">"FLEXPRO-" &amp;
UPPER(LEFT(B10,1) &amp; RIGHT(B10,1)) &amp;
"-" &amp; TEXT(H9,"yymmdd") &amp;
"-" &amp;
TEXT(
   IF(AND(ISNUMBER(K11),K11&gt;0),
      K11,
      COUNTIFS($B$10:B10,B10,$H$9:H9,H9)
   ),
"000")</f>
        <v>FLEXPRO-SS-260722-001</v>
      </c>
      <c r="G9" s="838"/>
      <c r="H9" s="43">
        <f ca="1">TODAY()</f>
        <v>46225</v>
      </c>
      <c r="J9" s="48"/>
      <c r="K9" s="48"/>
    </row>
    <row r="10" spans="2:11" ht="14.25" customHeight="1">
      <c r="B10" s="16" t="str">
        <f>Discovery!B3</f>
        <v>Soar Autism Center - South Fort Collins</v>
      </c>
      <c r="C10" s="23"/>
      <c r="D10" s="23"/>
      <c r="E10" s="15"/>
      <c r="F10" s="839" t="s">
        <v>949</v>
      </c>
      <c r="G10" s="901"/>
      <c r="H10" s="44" t="s">
        <v>950</v>
      </c>
    </row>
    <row r="11" spans="2:11">
      <c r="B11" s="16" t="str">
        <f>Discovery!B4</f>
        <v>3801 Automation Way</v>
      </c>
      <c r="C11" s="23"/>
      <c r="D11" s="23"/>
      <c r="E11" s="15"/>
      <c r="F11" s="902" t="str">
        <f>"SSG-"&amp;Discovery!B13</f>
        <v>SSG-12552093278</v>
      </c>
      <c r="G11" s="903"/>
      <c r="H11" s="45">
        <f ca="1">H9+7</f>
        <v>46232</v>
      </c>
      <c r="J11" s="520" t="s">
        <v>951</v>
      </c>
      <c r="K11" s="53">
        <v>0</v>
      </c>
    </row>
    <row r="12" spans="2:11">
      <c r="B12" s="16" t="str">
        <f>Discovery!B5&amp;" "&amp;Discovery!B6</f>
        <v>Fort Collins, CO 80525</v>
      </c>
      <c r="C12" s="23"/>
      <c r="D12" s="23"/>
      <c r="E12" s="15"/>
      <c r="F12" s="156"/>
      <c r="G12" s="15"/>
      <c r="H12" s="15"/>
    </row>
    <row r="13" spans="2:11">
      <c r="B13" s="16"/>
      <c r="C13" s="23"/>
      <c r="D13" s="23"/>
      <c r="E13" s="15"/>
      <c r="F13" s="156"/>
      <c r="G13" s="15"/>
      <c r="H13" s="15"/>
    </row>
    <row r="14" spans="2:11">
      <c r="B14" s="16"/>
      <c r="C14" s="23"/>
      <c r="D14" s="23"/>
      <c r="E14" s="15"/>
      <c r="F14" s="156"/>
      <c r="G14" s="15"/>
      <c r="H14" s="15"/>
    </row>
    <row r="15" spans="2:11" ht="15" customHeight="1">
      <c r="B15" s="904" t="s">
        <v>1124</v>
      </c>
      <c r="C15" s="904"/>
      <c r="D15" s="904"/>
      <c r="E15" s="904"/>
      <c r="F15" s="904"/>
      <c r="G15" s="904"/>
      <c r="H15" s="904"/>
    </row>
    <row r="16" spans="2:11" ht="15" customHeight="1">
      <c r="B16" s="16"/>
      <c r="C16" s="16"/>
      <c r="D16" s="16"/>
      <c r="E16" s="16"/>
      <c r="F16" s="156"/>
      <c r="G16" s="15"/>
      <c r="H16" s="15"/>
    </row>
    <row r="17" spans="2:14" ht="15.75">
      <c r="B17" s="896" t="s">
        <v>952</v>
      </c>
      <c r="C17" s="897"/>
      <c r="D17" s="897"/>
      <c r="E17" s="897"/>
      <c r="F17" s="897"/>
      <c r="G17" s="897"/>
      <c r="H17" s="898"/>
    </row>
    <row r="18" spans="2:14" ht="18.75" customHeight="1">
      <c r="B18" s="810" t="s">
        <v>1142</v>
      </c>
      <c r="C18" s="891"/>
      <c r="D18" s="891"/>
      <c r="E18" s="891"/>
      <c r="F18" s="891"/>
      <c r="G18" s="891"/>
      <c r="H18" s="892"/>
    </row>
    <row r="19" spans="2:14" ht="15" customHeight="1">
      <c r="B19" s="893"/>
      <c r="C19" s="894"/>
      <c r="D19" s="894"/>
      <c r="E19" s="894"/>
      <c r="F19" s="894"/>
      <c r="G19" s="894"/>
      <c r="H19" s="895"/>
    </row>
    <row r="20" spans="2:14" ht="15" customHeight="1">
      <c r="B20" s="23"/>
      <c r="C20" s="23"/>
      <c r="D20" s="23"/>
      <c r="E20" s="16"/>
      <c r="F20" s="155"/>
      <c r="G20" s="16"/>
      <c r="H20" s="16"/>
    </row>
    <row r="21" spans="2:14" ht="15" customHeight="1">
      <c r="B21" s="26" t="s">
        <v>175</v>
      </c>
      <c r="C21" s="27"/>
      <c r="D21" s="27" t="s">
        <v>955</v>
      </c>
      <c r="E21" s="28"/>
      <c r="F21" s="157" t="s">
        <v>957</v>
      </c>
      <c r="G21" s="20" t="s">
        <v>974</v>
      </c>
      <c r="H21" s="21" t="s">
        <v>975</v>
      </c>
    </row>
    <row r="22" spans="2:14" ht="15" customHeight="1">
      <c r="B22" s="33" t="s">
        <v>1125</v>
      </c>
      <c r="C22" s="29"/>
      <c r="D22" s="29"/>
      <c r="E22" s="30"/>
      <c r="F22" s="60" t="s">
        <v>976</v>
      </c>
      <c r="G22" s="22"/>
      <c r="H22" s="34"/>
    </row>
    <row r="23" spans="2:14" ht="15" customHeight="1">
      <c r="B23" s="602" t="s">
        <v>1143</v>
      </c>
      <c r="C23" s="599"/>
      <c r="D23" s="599"/>
      <c r="E23" s="236"/>
      <c r="F23" s="610" t="s">
        <v>979</v>
      </c>
      <c r="G23" s="600"/>
      <c r="H23" s="601"/>
    </row>
    <row r="24" spans="2:14">
      <c r="B24" s="163" t="s">
        <v>1144</v>
      </c>
      <c r="C24" s="23"/>
      <c r="D24" t="s">
        <v>773</v>
      </c>
      <c r="E24" s="23"/>
      <c r="F24" s="204">
        <v>1</v>
      </c>
      <c r="G24" s="274">
        <f>IFERROR(VLOOKUP(D24,Calcs!B:N,12,FALSE),"")</f>
        <v>5414.4</v>
      </c>
      <c r="H24" s="36">
        <f>F24*G24</f>
        <v>5414.4</v>
      </c>
    </row>
    <row r="25" spans="2:14" ht="93.75" customHeight="1">
      <c r="B25" s="911" t="s">
        <v>1127</v>
      </c>
      <c r="C25" s="912"/>
      <c r="D25" s="912"/>
      <c r="E25" s="912"/>
      <c r="F25" s="153" t="s">
        <v>979</v>
      </c>
      <c r="G25" s="274"/>
      <c r="H25" s="36"/>
    </row>
    <row r="26" spans="2:14">
      <c r="B26" s="163" t="s">
        <v>776</v>
      </c>
      <c r="C26" s="361"/>
      <c r="D26" s="320" t="s">
        <v>775</v>
      </c>
      <c r="E26" s="361"/>
      <c r="F26" s="259">
        <f>IFERROR(VLOOKUP('Flex Pro-Pack'!D26,Calcs!$B$260:$F$295,5,FALSE),"")</f>
        <v>1</v>
      </c>
      <c r="G26" s="260">
        <f>IFERROR(VLOOKUP(D26,Calcs!B:N,12,FALSE),"")</f>
        <v>1415.04</v>
      </c>
      <c r="H26" s="165">
        <f>IFERROR(VLOOKUP(D26,Calcs!B:AB,11,FALSE),"")</f>
        <v>1415.04</v>
      </c>
    </row>
    <row r="27" spans="2:14" ht="78.75" customHeight="1">
      <c r="B27" s="911" t="s">
        <v>1130</v>
      </c>
      <c r="C27" s="912"/>
      <c r="D27" s="912"/>
      <c r="E27" s="916"/>
      <c r="F27" s="436">
        <f>F26</f>
        <v>1</v>
      </c>
      <c r="G27" s="260"/>
      <c r="H27" s="165"/>
    </row>
    <row r="28" spans="2:14">
      <c r="B28" s="163" t="str">
        <f>IFERROR(VLOOKUP(D28,Calcs!B:G,3,FALSE),"")</f>
        <v>Suspension Harness Kit</v>
      </c>
      <c r="C28" s="361"/>
      <c r="D28" s="551" t="s">
        <v>812</v>
      </c>
      <c r="E28" s="361"/>
      <c r="F28" s="259">
        <v>1</v>
      </c>
      <c r="G28" s="260">
        <f>IFERROR(VLOOKUP(D28,Calcs!B:N,12,FALSE),"")</f>
        <v>204.43500000000003</v>
      </c>
      <c r="H28" s="165">
        <f>IFERROR(VLOOKUP(D28,Calcs!B:AB,11,FALSE),"")</f>
        <v>204.43500000000003</v>
      </c>
    </row>
    <row r="29" spans="2:14">
      <c r="B29" s="163" t="str">
        <f>IFERROR(VLOOKUP(D29,Calcs!B:G,3,FALSE),"")</f>
        <v>Floor Padding - 69" x 72" x 2" V1 Folding Mat - 2 Sections</v>
      </c>
      <c r="C29" s="23"/>
      <c r="D29" s="23" t="s">
        <v>789</v>
      </c>
      <c r="E29" s="23"/>
      <c r="F29" s="259">
        <v>1</v>
      </c>
      <c r="G29" s="260">
        <f>IFERROR(VLOOKUP(D29,Calcs!B:N,12,FALSE),"")</f>
        <v>574.09</v>
      </c>
      <c r="H29" s="165">
        <f>IFERROR(VLOOKUP(D29,Calcs!B:AB,11,FALSE),"")</f>
        <v>574.09</v>
      </c>
    </row>
    <row r="30" spans="2:14" ht="14.25" customHeight="1">
      <c r="B30" s="163" t="str">
        <f>IFERROR(VLOOKUP(D30,Calcs!B:G,3,FALSE),"")</f>
        <v>Equipment Rack (Frame Mounted)</v>
      </c>
      <c r="C30" s="23"/>
      <c r="D30" s="354" t="s">
        <v>822</v>
      </c>
      <c r="E30" s="23"/>
      <c r="F30" s="259">
        <v>1</v>
      </c>
      <c r="G30" s="260">
        <f>IFERROR(VLOOKUP(D30,Calcs!B:N,12,FALSE),"")</f>
        <v>107.25</v>
      </c>
      <c r="H30" s="165">
        <f>IFERROR(VLOOKUP(D30,Calcs!B:AB,11,FALSE),"")</f>
        <v>107.25</v>
      </c>
      <c r="J30" s="806" t="s">
        <v>1145</v>
      </c>
      <c r="K30" s="806"/>
      <c r="L30" s="806"/>
      <c r="M30" s="806"/>
    </row>
    <row r="31" spans="2:14" ht="14.25" customHeight="1">
      <c r="B31" s="163" t="str">
        <f>IF(K31&gt;0.99,J31,"")</f>
        <v>Leather Belt (Size - TBD)</v>
      </c>
      <c r="C31" s="23"/>
      <c r="D31" s="354" t="s">
        <v>795</v>
      </c>
      <c r="E31" s="23"/>
      <c r="F31" s="259">
        <f>K31</f>
        <v>1</v>
      </c>
      <c r="G31" s="584">
        <f>L31</f>
        <v>226.88</v>
      </c>
      <c r="H31" s="584">
        <f>M31</f>
        <v>226.88</v>
      </c>
      <c r="J31" t="str">
        <f>Calcs!D275</f>
        <v>Leather Belt (Size - TBD)</v>
      </c>
      <c r="K31" s="168">
        <v>1</v>
      </c>
      <c r="L31" s="51">
        <f>IF(K31&lt;0.99,K31,Calcs!L275)</f>
        <v>226.88</v>
      </c>
      <c r="M31" s="51">
        <f>K31*L31</f>
        <v>226.88</v>
      </c>
      <c r="N31" s="924" t="s">
        <v>1146</v>
      </c>
    </row>
    <row r="32" spans="2:14" ht="14.25" hidden="1" customHeight="1">
      <c r="B32" s="163" t="str">
        <f t="shared" ref="B32:B38" si="0">IF(K32&gt;0.99,J32,"")</f>
        <v/>
      </c>
      <c r="C32" s="23"/>
      <c r="D32" s="354" t="s">
        <v>797</v>
      </c>
      <c r="E32" s="23"/>
      <c r="F32" s="259">
        <f t="shared" ref="F32:F38" si="1">K32</f>
        <v>0</v>
      </c>
      <c r="G32" s="584">
        <f t="shared" ref="G32:G38" si="2">L32</f>
        <v>0</v>
      </c>
      <c r="H32" s="584">
        <f t="shared" ref="H32:H38" si="3">M32</f>
        <v>0</v>
      </c>
      <c r="J32" t="str">
        <f>Calcs!D276</f>
        <v>Leather Belt (Size - XX Small)</v>
      </c>
      <c r="K32" s="168">
        <v>0</v>
      </c>
      <c r="L32" s="51">
        <f>IF(K32&lt;0.99,K32,Calcs!L276)</f>
        <v>0</v>
      </c>
      <c r="M32" s="51">
        <f t="shared" ref="M32:M38" si="4">K32*L32</f>
        <v>0</v>
      </c>
      <c r="N32" s="924"/>
    </row>
    <row r="33" spans="2:14" ht="14.25" hidden="1" customHeight="1">
      <c r="B33" s="163" t="str">
        <f t="shared" si="0"/>
        <v/>
      </c>
      <c r="C33" s="23"/>
      <c r="D33" s="354" t="s">
        <v>799</v>
      </c>
      <c r="E33" s="23"/>
      <c r="F33" s="259">
        <f t="shared" si="1"/>
        <v>0</v>
      </c>
      <c r="G33" s="584">
        <f t="shared" si="2"/>
        <v>0</v>
      </c>
      <c r="H33" s="584">
        <f t="shared" si="3"/>
        <v>0</v>
      </c>
      <c r="J33" t="str">
        <f>Calcs!D277</f>
        <v>Leather Belt (Size - X Small)</v>
      </c>
      <c r="K33" s="168">
        <v>0</v>
      </c>
      <c r="L33" s="51">
        <f>IF(K33&lt;0.99,K33,Calcs!L277)</f>
        <v>0</v>
      </c>
      <c r="M33" s="51">
        <f t="shared" si="4"/>
        <v>0</v>
      </c>
      <c r="N33" s="924"/>
    </row>
    <row r="34" spans="2:14" ht="14.25" hidden="1" customHeight="1">
      <c r="B34" s="163" t="str">
        <f t="shared" si="0"/>
        <v/>
      </c>
      <c r="C34" s="23"/>
      <c r="D34" s="354" t="s">
        <v>801</v>
      </c>
      <c r="E34" s="23"/>
      <c r="F34" s="259">
        <f t="shared" si="1"/>
        <v>0</v>
      </c>
      <c r="G34" s="584">
        <f t="shared" si="2"/>
        <v>0</v>
      </c>
      <c r="H34" s="584">
        <f t="shared" si="3"/>
        <v>0</v>
      </c>
      <c r="J34" t="str">
        <f>Calcs!D278</f>
        <v>Leather Belt (Size - Small)</v>
      </c>
      <c r="K34" s="168">
        <v>0</v>
      </c>
      <c r="L34" s="51">
        <f>IF(K34&lt;0.99,K34,Calcs!L278)</f>
        <v>0</v>
      </c>
      <c r="M34" s="51">
        <f t="shared" si="4"/>
        <v>0</v>
      </c>
      <c r="N34" s="924"/>
    </row>
    <row r="35" spans="2:14" ht="14.25" hidden="1" customHeight="1">
      <c r="B35" s="163" t="str">
        <f t="shared" si="0"/>
        <v/>
      </c>
      <c r="C35" s="23"/>
      <c r="D35" s="354" t="s">
        <v>803</v>
      </c>
      <c r="E35" s="23"/>
      <c r="F35" s="259">
        <f t="shared" si="1"/>
        <v>0</v>
      </c>
      <c r="G35" s="584">
        <f t="shared" si="2"/>
        <v>0</v>
      </c>
      <c r="H35" s="584">
        <f t="shared" si="3"/>
        <v>0</v>
      </c>
      <c r="J35" t="str">
        <f>Calcs!D279</f>
        <v>Leather Belt (Size - Medium)</v>
      </c>
      <c r="K35" s="168">
        <v>0</v>
      </c>
      <c r="L35" s="51">
        <f>IF(K35&lt;0.99,K35,Calcs!L279)</f>
        <v>0</v>
      </c>
      <c r="M35" s="51">
        <f t="shared" si="4"/>
        <v>0</v>
      </c>
      <c r="N35" s="924"/>
    </row>
    <row r="36" spans="2:14" ht="14.25" hidden="1" customHeight="1">
      <c r="B36" s="163" t="str">
        <f t="shared" si="0"/>
        <v/>
      </c>
      <c r="C36" s="23"/>
      <c r="D36" s="354" t="s">
        <v>805</v>
      </c>
      <c r="E36" s="23"/>
      <c r="F36" s="259">
        <f t="shared" si="1"/>
        <v>0</v>
      </c>
      <c r="G36" s="584">
        <f t="shared" si="2"/>
        <v>0</v>
      </c>
      <c r="H36" s="584">
        <f t="shared" si="3"/>
        <v>0</v>
      </c>
      <c r="J36" t="str">
        <f>Calcs!D280</f>
        <v>Leather Belt (Size - Large)</v>
      </c>
      <c r="K36" s="168">
        <v>0</v>
      </c>
      <c r="L36" s="51">
        <f>IF(K36&lt;0.99,K36,Calcs!L280)</f>
        <v>0</v>
      </c>
      <c r="M36" s="51">
        <f t="shared" si="4"/>
        <v>0</v>
      </c>
      <c r="N36" s="924"/>
    </row>
    <row r="37" spans="2:14" ht="14.25" hidden="1" customHeight="1">
      <c r="B37" s="163" t="str">
        <f t="shared" si="0"/>
        <v/>
      </c>
      <c r="C37" s="23"/>
      <c r="D37" s="354" t="s">
        <v>807</v>
      </c>
      <c r="E37" s="23"/>
      <c r="F37" s="259">
        <f t="shared" si="1"/>
        <v>0</v>
      </c>
      <c r="G37" s="584">
        <f t="shared" si="2"/>
        <v>0</v>
      </c>
      <c r="H37" s="584">
        <f t="shared" si="3"/>
        <v>0</v>
      </c>
      <c r="J37" t="str">
        <f>Calcs!D281</f>
        <v>Leather Belt (Size - X Large)</v>
      </c>
      <c r="K37" s="168">
        <v>0</v>
      </c>
      <c r="L37" s="51">
        <f>IF(K37&lt;0.99,K37,Calcs!L281)</f>
        <v>0</v>
      </c>
      <c r="M37" s="51">
        <f t="shared" si="4"/>
        <v>0</v>
      </c>
      <c r="N37" s="924"/>
    </row>
    <row r="38" spans="2:14" ht="14.25" hidden="1" customHeight="1">
      <c r="B38" s="163" t="str">
        <f t="shared" si="0"/>
        <v/>
      </c>
      <c r="C38" s="23"/>
      <c r="D38" s="354" t="s">
        <v>809</v>
      </c>
      <c r="E38" s="23"/>
      <c r="F38" s="259">
        <f t="shared" si="1"/>
        <v>0</v>
      </c>
      <c r="G38" s="584">
        <f t="shared" si="2"/>
        <v>0</v>
      </c>
      <c r="H38" s="584">
        <f t="shared" si="3"/>
        <v>0</v>
      </c>
      <c r="J38" t="str">
        <f>Calcs!D282</f>
        <v>Leather Belt (Size - XX Large)</v>
      </c>
      <c r="K38" s="168">
        <v>0</v>
      </c>
      <c r="L38" s="51">
        <f>IF(K38&lt;0.99,K38,Calcs!L282)</f>
        <v>0</v>
      </c>
      <c r="M38" s="51">
        <f t="shared" si="4"/>
        <v>0</v>
      </c>
      <c r="N38" s="924"/>
    </row>
    <row r="39" spans="2:14" ht="14.25" customHeight="1">
      <c r="B39" s="603" t="str">
        <f>IF(F39&gt;0.99,"Passthrough Freight Charge for Belt(s) / Boot(s)","")</f>
        <v>Passthrough Freight Charge for Belt(s) / Boot(s)</v>
      </c>
      <c r="C39" s="23"/>
      <c r="D39" s="354" t="s">
        <v>628</v>
      </c>
      <c r="E39" s="23"/>
      <c r="F39" s="259">
        <f>IF(SUM(F31:F38)&gt;0.99,1,0)</f>
        <v>1</v>
      </c>
      <c r="G39" s="260">
        <f>IF(F39&gt;0.9,95,"")</f>
        <v>95</v>
      </c>
      <c r="H39" s="165">
        <f>G39</f>
        <v>95</v>
      </c>
      <c r="K39" s="1"/>
    </row>
    <row r="40" spans="2:14" ht="14.25" customHeight="1">
      <c r="B40" s="163" t="str">
        <f>IFERROR(VLOOKUP(D40,Calcs!B:G,3,FALSE),"")</f>
        <v>TheraBungee - 10 Piece Bungee Set</v>
      </c>
      <c r="C40" s="23"/>
      <c r="D40" s="354" t="s">
        <v>824</v>
      </c>
      <c r="E40" s="241"/>
      <c r="F40" s="259">
        <f>IFERROR(VLOOKUP('Flex Pro-Pack'!D40,Calcs!$B$260:$F$295,5,FALSE),"")</f>
        <v>1</v>
      </c>
      <c r="G40" s="260">
        <f>IFERROR(VLOOKUP(D40,Calcs!B:N,12,FALSE),"")</f>
        <v>297.07</v>
      </c>
      <c r="H40" s="165">
        <f>IFERROR(VLOOKUP(D40,Calcs!B:AB,11,FALSE),"")</f>
        <v>297.07</v>
      </c>
      <c r="K40" s="1"/>
    </row>
    <row r="41" spans="2:14" ht="14.25" customHeight="1">
      <c r="B41" s="163" t="str">
        <f t="shared" ref="B41" si="5">IF(K41&gt;0.99,J41,"")</f>
        <v>Standard Equipment Set - 82 Elements</v>
      </c>
      <c r="C41" s="23"/>
      <c r="D41" s="354" t="s">
        <v>729</v>
      </c>
      <c r="E41" s="23"/>
      <c r="F41" s="259">
        <f t="shared" ref="F41:F42" si="6">K41</f>
        <v>1</v>
      </c>
      <c r="G41" s="584">
        <f t="shared" ref="G41:G42" si="7">L41</f>
        <v>1649.99</v>
      </c>
      <c r="H41" s="584">
        <f t="shared" ref="H41:H42" si="8">M41</f>
        <v>1649.99</v>
      </c>
      <c r="J41" t="s">
        <v>832</v>
      </c>
      <c r="K41" s="168">
        <v>1</v>
      </c>
      <c r="L41" s="51">
        <f>IF(K41&lt;0.99,K41,Calcs!L294)</f>
        <v>1649.99</v>
      </c>
      <c r="M41" s="51">
        <f t="shared" ref="M41:M42" si="9">K41*L41</f>
        <v>1649.99</v>
      </c>
      <c r="N41" s="48" t="s">
        <v>1147</v>
      </c>
    </row>
    <row r="42" spans="2:14" ht="14.25" hidden="1" customHeight="1">
      <c r="B42" s="163" t="str">
        <f t="shared" ref="B42" si="10">IF(K42&gt;0.99,J42,"")</f>
        <v/>
      </c>
      <c r="C42" s="23"/>
      <c r="D42" s="354" t="s">
        <v>833</v>
      </c>
      <c r="E42" s="23"/>
      <c r="F42" s="259">
        <f t="shared" si="6"/>
        <v>0</v>
      </c>
      <c r="G42" s="584">
        <f t="shared" si="7"/>
        <v>0</v>
      </c>
      <c r="H42" s="584">
        <f t="shared" si="8"/>
        <v>0</v>
      </c>
      <c r="J42" t="s">
        <v>834</v>
      </c>
      <c r="K42" s="168">
        <v>0</v>
      </c>
      <c r="L42" s="51">
        <f>IF(K42&lt;0.99,K42,Calcs!L295)</f>
        <v>0</v>
      </c>
      <c r="M42" s="51">
        <f t="shared" si="9"/>
        <v>0</v>
      </c>
    </row>
    <row r="43" spans="2:14" ht="14.25" hidden="1" customHeight="1">
      <c r="B43" s="606"/>
      <c r="C43" s="23"/>
      <c r="D43" s="354"/>
      <c r="E43" s="23"/>
      <c r="F43" s="259" t="str">
        <f>IFERROR(VLOOKUP('Flex Pro-Pack'!D43,Calcs!$B$260:$F$295,5,FALSE),"")</f>
        <v/>
      </c>
      <c r="G43" s="260" t="str">
        <f>IFERROR(VLOOKUP(D43,Calcs!B:N,12,FALSE),"")</f>
        <v/>
      </c>
      <c r="H43" s="165" t="str">
        <f>IFERROR(VLOOKUP(D43,Calcs!B:AB,11,FALSE),"")</f>
        <v/>
      </c>
    </row>
    <row r="44" spans="2:14" ht="14.25" customHeight="1">
      <c r="B44" s="607" t="s">
        <v>1148</v>
      </c>
      <c r="C44" s="23"/>
      <c r="D44" s="354"/>
      <c r="E44" s="23"/>
      <c r="F44" s="436" t="s">
        <v>979</v>
      </c>
      <c r="G44" s="260"/>
      <c r="H44" s="608">
        <f>SUM(H24:H42)</f>
        <v>9984.1550000000007</v>
      </c>
    </row>
    <row r="45" spans="2:14" ht="14.25" customHeight="1">
      <c r="B45" s="607"/>
      <c r="C45" s="23"/>
      <c r="D45" s="354"/>
      <c r="E45" s="23"/>
      <c r="F45" s="436" t="s">
        <v>979</v>
      </c>
      <c r="G45" s="260"/>
      <c r="H45" s="608"/>
    </row>
    <row r="46" spans="2:14" ht="14.25" customHeight="1">
      <c r="B46" s="636" t="s">
        <v>1149</v>
      </c>
      <c r="C46" s="624"/>
      <c r="D46" s="590"/>
      <c r="E46" s="624"/>
      <c r="F46" s="625" t="s">
        <v>979</v>
      </c>
      <c r="G46" s="626"/>
      <c r="H46" s="627"/>
    </row>
    <row r="47" spans="2:14" ht="14.25" customHeight="1">
      <c r="B47" s="606" t="s">
        <v>981</v>
      </c>
      <c r="C47" s="23"/>
      <c r="D47" s="354"/>
      <c r="E47" s="239"/>
      <c r="F47" s="436" t="s">
        <v>1150</v>
      </c>
      <c r="G47" s="623"/>
      <c r="H47" s="605"/>
      <c r="J47" s="806" t="s">
        <v>1151</v>
      </c>
      <c r="K47" s="806"/>
      <c r="L47" s="806"/>
      <c r="M47" s="806"/>
    </row>
    <row r="48" spans="2:14" ht="14.25" hidden="1" customHeight="1">
      <c r="B48" s="163" t="str">
        <f t="shared" ref="B48:B55" si="11">IF(K48&gt;0.99,J48,"")</f>
        <v/>
      </c>
      <c r="C48" s="23"/>
      <c r="D48" s="354" t="s">
        <v>795</v>
      </c>
      <c r="E48" s="23"/>
      <c r="F48" s="259">
        <f>K48</f>
        <v>0</v>
      </c>
      <c r="G48" s="584">
        <f>L48</f>
        <v>0</v>
      </c>
      <c r="H48" s="604">
        <f>M48</f>
        <v>0</v>
      </c>
      <c r="J48" t="s">
        <v>796</v>
      </c>
      <c r="K48" s="168">
        <v>0</v>
      </c>
      <c r="L48" s="51">
        <f>IF(K48&lt;0.99,K48,Calcs!L275)</f>
        <v>0</v>
      </c>
      <c r="M48" s="51">
        <f>K48*L48</f>
        <v>0</v>
      </c>
    </row>
    <row r="49" spans="2:25" ht="14.25" hidden="1" customHeight="1">
      <c r="B49" s="163" t="str">
        <f t="shared" si="11"/>
        <v/>
      </c>
      <c r="C49" s="23"/>
      <c r="D49" s="354" t="s">
        <v>797</v>
      </c>
      <c r="E49" s="23"/>
      <c r="F49" s="259">
        <f t="shared" ref="F49:F55" si="12">K49</f>
        <v>0</v>
      </c>
      <c r="G49" s="584">
        <f t="shared" ref="G49:G55" si="13">L49</f>
        <v>0</v>
      </c>
      <c r="H49" s="604">
        <f t="shared" ref="H49:H55" si="14">M49</f>
        <v>0</v>
      </c>
      <c r="J49" t="s">
        <v>798</v>
      </c>
      <c r="K49" s="168">
        <v>0</v>
      </c>
      <c r="L49" s="51">
        <f>IF(K49&lt;0.99,K49,Calcs!L276)</f>
        <v>0</v>
      </c>
      <c r="M49" s="51">
        <f t="shared" ref="M49:M55" si="15">K49*L49</f>
        <v>0</v>
      </c>
    </row>
    <row r="50" spans="2:25" ht="14.25" hidden="1" customHeight="1">
      <c r="B50" s="163" t="str">
        <f t="shared" si="11"/>
        <v/>
      </c>
      <c r="C50" s="23"/>
      <c r="D50" s="354" t="s">
        <v>799</v>
      </c>
      <c r="E50" s="23"/>
      <c r="F50" s="259">
        <f t="shared" si="12"/>
        <v>0</v>
      </c>
      <c r="G50" s="584">
        <f t="shared" si="13"/>
        <v>0</v>
      </c>
      <c r="H50" s="604">
        <f t="shared" si="14"/>
        <v>0</v>
      </c>
      <c r="J50" t="s">
        <v>800</v>
      </c>
      <c r="K50" s="168">
        <v>0</v>
      </c>
      <c r="L50" s="51">
        <f>IF(K50&lt;0.99,K50,Calcs!L277)</f>
        <v>0</v>
      </c>
      <c r="M50" s="51">
        <f t="shared" si="15"/>
        <v>0</v>
      </c>
      <c r="S50">
        <f>Calcs!O275</f>
        <v>0</v>
      </c>
      <c r="T50">
        <f>Calcs!P275</f>
        <v>0</v>
      </c>
      <c r="U50">
        <f>Calcs!Q275</f>
        <v>0</v>
      </c>
      <c r="V50">
        <f>Calcs!R275</f>
        <v>0</v>
      </c>
      <c r="W50">
        <f>Calcs!S275</f>
        <v>0</v>
      </c>
      <c r="X50">
        <f>Calcs!T275</f>
        <v>0</v>
      </c>
      <c r="Y50">
        <f>Calcs!U275</f>
        <v>0</v>
      </c>
    </row>
    <row r="51" spans="2:25" ht="14.25" hidden="1" customHeight="1">
      <c r="B51" s="163" t="str">
        <f t="shared" si="11"/>
        <v/>
      </c>
      <c r="C51" s="353"/>
      <c r="D51" s="354" t="s">
        <v>801</v>
      </c>
      <c r="E51" s="23"/>
      <c r="F51" s="259">
        <f t="shared" si="12"/>
        <v>0</v>
      </c>
      <c r="G51" s="584">
        <f t="shared" si="13"/>
        <v>0</v>
      </c>
      <c r="H51" s="604">
        <f t="shared" si="14"/>
        <v>0</v>
      </c>
      <c r="J51" t="s">
        <v>802</v>
      </c>
      <c r="K51" s="168">
        <v>0</v>
      </c>
      <c r="L51" s="51">
        <f>IF(K51&lt;0.99,K51,Calcs!L278)</f>
        <v>0</v>
      </c>
      <c r="M51" s="51">
        <f t="shared" si="15"/>
        <v>0</v>
      </c>
    </row>
    <row r="52" spans="2:25" ht="14.25" hidden="1" customHeight="1">
      <c r="B52" s="163" t="str">
        <f t="shared" si="11"/>
        <v/>
      </c>
      <c r="C52" s="353"/>
      <c r="D52" s="354" t="s">
        <v>803</v>
      </c>
      <c r="E52" s="23"/>
      <c r="F52" s="259">
        <f t="shared" si="12"/>
        <v>0</v>
      </c>
      <c r="G52" s="584">
        <f t="shared" si="13"/>
        <v>0</v>
      </c>
      <c r="H52" s="604">
        <f t="shared" si="14"/>
        <v>0</v>
      </c>
      <c r="J52" t="s">
        <v>804</v>
      </c>
      <c r="K52" s="168">
        <v>0</v>
      </c>
      <c r="L52" s="51">
        <f>IF(K52&lt;0.99,K52,Calcs!L279)</f>
        <v>0</v>
      </c>
      <c r="M52" s="51">
        <f t="shared" si="15"/>
        <v>0</v>
      </c>
    </row>
    <row r="53" spans="2:25" ht="14.25" hidden="1" customHeight="1">
      <c r="B53" s="163" t="str">
        <f t="shared" si="11"/>
        <v/>
      </c>
      <c r="C53" s="353"/>
      <c r="D53" s="354" t="s">
        <v>805</v>
      </c>
      <c r="E53" s="23"/>
      <c r="F53" s="259">
        <f t="shared" si="12"/>
        <v>0</v>
      </c>
      <c r="G53" s="584">
        <f t="shared" si="13"/>
        <v>0</v>
      </c>
      <c r="H53" s="604">
        <f t="shared" si="14"/>
        <v>0</v>
      </c>
      <c r="J53" t="s">
        <v>806</v>
      </c>
      <c r="K53" s="168">
        <v>0</v>
      </c>
      <c r="L53" s="51">
        <f>IF(K53&lt;0.99,K53,Calcs!L280)</f>
        <v>0</v>
      </c>
      <c r="M53" s="51">
        <f t="shared" si="15"/>
        <v>0</v>
      </c>
    </row>
    <row r="54" spans="2:25" ht="14.25" hidden="1" customHeight="1">
      <c r="B54" s="163" t="str">
        <f t="shared" si="11"/>
        <v/>
      </c>
      <c r="C54" s="353"/>
      <c r="D54" s="354" t="s">
        <v>807</v>
      </c>
      <c r="E54" s="23"/>
      <c r="F54" s="259">
        <f t="shared" si="12"/>
        <v>0</v>
      </c>
      <c r="G54" s="584">
        <f t="shared" si="13"/>
        <v>0</v>
      </c>
      <c r="H54" s="604">
        <f t="shared" si="14"/>
        <v>0</v>
      </c>
      <c r="J54" t="s">
        <v>808</v>
      </c>
      <c r="K54" s="168">
        <v>0</v>
      </c>
      <c r="L54" s="51">
        <f>IF(K54&lt;0.99,K54,Calcs!L281)</f>
        <v>0</v>
      </c>
      <c r="M54" s="51">
        <f t="shared" si="15"/>
        <v>0</v>
      </c>
    </row>
    <row r="55" spans="2:25" ht="14.25" hidden="1" customHeight="1">
      <c r="B55" s="163" t="str">
        <f t="shared" si="11"/>
        <v/>
      </c>
      <c r="C55" s="353"/>
      <c r="D55" s="354" t="s">
        <v>809</v>
      </c>
      <c r="E55" s="23"/>
      <c r="F55" s="259">
        <f t="shared" si="12"/>
        <v>0</v>
      </c>
      <c r="G55" s="584">
        <f t="shared" si="13"/>
        <v>0</v>
      </c>
      <c r="H55" s="604">
        <f t="shared" si="14"/>
        <v>0</v>
      </c>
      <c r="J55" t="s">
        <v>810</v>
      </c>
      <c r="K55" s="168">
        <v>0</v>
      </c>
      <c r="L55" s="51">
        <f>IF(K55&lt;0.99,K55,Calcs!L282)</f>
        <v>0</v>
      </c>
      <c r="M55" s="51">
        <f t="shared" si="15"/>
        <v>0</v>
      </c>
    </row>
    <row r="56" spans="2:25" ht="14.25" customHeight="1">
      <c r="B56" s="169" t="s">
        <v>405</v>
      </c>
      <c r="C56" s="353"/>
      <c r="E56" s="23"/>
      <c r="F56" s="436" t="s">
        <v>979</v>
      </c>
      <c r="G56" s="584"/>
      <c r="H56" s="609">
        <f>SUM(H48:H55)</f>
        <v>0</v>
      </c>
    </row>
    <row r="57" spans="2:25" ht="14.25" customHeight="1">
      <c r="B57" s="169"/>
      <c r="C57" s="353"/>
      <c r="E57" s="23"/>
      <c r="F57" s="436" t="s">
        <v>979</v>
      </c>
      <c r="G57" s="584"/>
      <c r="H57" s="609"/>
    </row>
    <row r="58" spans="2:25" ht="14.25" customHeight="1">
      <c r="B58" s="745" t="s">
        <v>1152</v>
      </c>
      <c r="C58" s="624"/>
      <c r="D58" s="590"/>
      <c r="E58" s="624"/>
      <c r="F58" s="625" t="s">
        <v>979</v>
      </c>
      <c r="G58" s="626"/>
      <c r="H58" s="627"/>
    </row>
    <row r="59" spans="2:25" ht="14.25" customHeight="1">
      <c r="B59" s="606" t="s">
        <v>981</v>
      </c>
      <c r="C59" s="23"/>
      <c r="D59" s="354"/>
      <c r="E59" s="239"/>
      <c r="F59" s="436" t="s">
        <v>1153</v>
      </c>
      <c r="G59" s="623"/>
      <c r="H59" s="605"/>
      <c r="J59" s="925" t="s">
        <v>1154</v>
      </c>
      <c r="K59" s="925"/>
      <c r="L59" s="925"/>
      <c r="M59" s="925"/>
    </row>
    <row r="60" spans="2:25" ht="14.25" hidden="1" customHeight="1">
      <c r="B60" s="163" t="s">
        <v>1155</v>
      </c>
      <c r="C60" s="353"/>
      <c r="D60" t="s">
        <v>1156</v>
      </c>
      <c r="E60" s="23"/>
      <c r="F60" s="259">
        <f>K60</f>
        <v>0</v>
      </c>
      <c r="G60" s="584">
        <f>L60</f>
        <v>800</v>
      </c>
      <c r="H60" s="604">
        <f>M60</f>
        <v>0</v>
      </c>
      <c r="J60" t="s">
        <v>1157</v>
      </c>
      <c r="K60" s="50">
        <v>0</v>
      </c>
      <c r="L60" s="131">
        <v>800</v>
      </c>
      <c r="M60" s="131">
        <f>K60*L60</f>
        <v>0</v>
      </c>
    </row>
    <row r="61" spans="2:25" ht="14.25" hidden="1" customHeight="1">
      <c r="B61" s="669" t="s">
        <v>1158</v>
      </c>
      <c r="C61" s="353"/>
      <c r="E61" s="23"/>
      <c r="F61" s="436">
        <f>F60</f>
        <v>0</v>
      </c>
      <c r="G61" s="584"/>
      <c r="H61" s="609"/>
    </row>
    <row r="62" spans="2:25" ht="14.25" customHeight="1">
      <c r="B62" s="169" t="s">
        <v>405</v>
      </c>
      <c r="C62" s="353"/>
      <c r="E62" s="23"/>
      <c r="F62" s="436" t="s">
        <v>979</v>
      </c>
      <c r="G62" s="584"/>
      <c r="H62" s="609">
        <f>SUM(H60)</f>
        <v>0</v>
      </c>
    </row>
    <row r="63" spans="2:25" ht="14.25" customHeight="1">
      <c r="B63" s="163"/>
      <c r="C63" s="353"/>
      <c r="E63" s="23"/>
      <c r="F63" s="436" t="s">
        <v>979</v>
      </c>
      <c r="G63" s="584"/>
      <c r="H63" s="604"/>
    </row>
    <row r="64" spans="2:25">
      <c r="B64" s="162"/>
      <c r="C64" s="40"/>
      <c r="D64" s="40"/>
      <c r="E64" s="41"/>
      <c r="F64" s="905" t="s">
        <v>960</v>
      </c>
      <c r="G64" s="906"/>
      <c r="H64" s="434">
        <f>H44+H56+H62</f>
        <v>9984.1550000000007</v>
      </c>
      <c r="J64" s="131"/>
    </row>
    <row r="65" spans="2:11" ht="14.25" customHeight="1">
      <c r="B65" s="31"/>
      <c r="C65" s="31"/>
      <c r="D65" s="31"/>
      <c r="E65" s="31"/>
      <c r="F65" s="907" t="s">
        <v>1159</v>
      </c>
      <c r="G65" s="908"/>
      <c r="H65" s="127">
        <v>758.95</v>
      </c>
      <c r="J65" s="218"/>
      <c r="K65" s="131"/>
    </row>
    <row r="66" spans="2:11" ht="14.25" customHeight="1">
      <c r="B66" s="829" t="s">
        <v>1040</v>
      </c>
      <c r="C66" s="923"/>
      <c r="D66" s="923"/>
      <c r="E66" s="15"/>
      <c r="F66" s="909" t="s">
        <v>1041</v>
      </c>
      <c r="G66" s="910"/>
      <c r="H66" s="235" t="str">
        <f>IF(Discovery!C19="TBD","TBD",Discovery!C19+100)</f>
        <v>TBD</v>
      </c>
      <c r="J66" s="218"/>
    </row>
    <row r="67" spans="2:11">
      <c r="B67" s="923"/>
      <c r="C67" s="923"/>
      <c r="D67" s="923"/>
      <c r="E67" s="15"/>
      <c r="F67" s="909" t="s">
        <v>1042</v>
      </c>
      <c r="G67" s="910"/>
      <c r="H67" s="235">
        <f>IF(Discovery!C24="TBD","TBD",Discovery!C24)</f>
        <v>859.14</v>
      </c>
    </row>
    <row r="68" spans="2:11" ht="14.25" customHeight="1">
      <c r="B68" s="923"/>
      <c r="C68" s="923"/>
      <c r="D68" s="923"/>
      <c r="E68" s="15"/>
      <c r="F68" s="909" t="s">
        <v>1140</v>
      </c>
      <c r="G68" s="910"/>
      <c r="H68" s="235">
        <f>IF(Discovery!C25="TBD","TBD",Discovery!C25)</f>
        <v>294.07</v>
      </c>
    </row>
    <row r="69" spans="2:11" ht="14.25" customHeight="1">
      <c r="B69" s="923"/>
      <c r="C69" s="923"/>
      <c r="D69" s="923"/>
      <c r="E69" s="15"/>
      <c r="F69" s="827" t="s">
        <v>962</v>
      </c>
      <c r="G69" s="828"/>
      <c r="H69" s="128">
        <f>H64-H65+(IF(H66="TBD",0,H66))+(IF(H67="TBD",0,H67))+(IF(H68="TBD",0,H68))</f>
        <v>10378.414999999999</v>
      </c>
    </row>
    <row r="70" spans="2:11" ht="14.25" customHeight="1">
      <c r="B70" s="923"/>
      <c r="C70" s="923"/>
      <c r="D70" s="923"/>
      <c r="E70" s="15"/>
      <c r="F70" s="827" t="s">
        <v>1044</v>
      </c>
      <c r="G70" s="828"/>
      <c r="H70" s="128">
        <f>H69/2</f>
        <v>5189.2074999999995</v>
      </c>
    </row>
    <row r="71" spans="2:11" ht="15" customHeight="1">
      <c r="B71" s="15"/>
      <c r="C71" s="15"/>
      <c r="D71" s="15"/>
      <c r="E71" s="15"/>
      <c r="F71" s="263">
        <v>1</v>
      </c>
      <c r="G71" s="262"/>
      <c r="H71" s="264"/>
    </row>
    <row r="72" spans="2:11" ht="22.5" hidden="1" customHeight="1">
      <c r="B72" s="833" t="s">
        <v>964</v>
      </c>
      <c r="C72" s="833"/>
      <c r="D72" s="833"/>
      <c r="E72" s="833"/>
      <c r="F72" s="833"/>
      <c r="G72" s="833"/>
      <c r="H72" s="833"/>
    </row>
    <row r="73" spans="2:11" ht="18.75" hidden="1" customHeight="1">
      <c r="B73" s="833"/>
      <c r="C73" s="833"/>
      <c r="D73" s="833"/>
      <c r="E73" s="833"/>
      <c r="F73" s="833"/>
      <c r="G73" s="833"/>
      <c r="H73" s="833"/>
    </row>
    <row r="74" spans="2:11" ht="15" customHeight="1">
      <c r="B74" s="15"/>
      <c r="C74" s="15"/>
      <c r="D74" s="15"/>
      <c r="E74" s="15"/>
      <c r="F74" s="263"/>
      <c r="G74" s="262"/>
      <c r="H74" s="264"/>
    </row>
    <row r="75" spans="2:11" ht="15" customHeight="1">
      <c r="B75" s="161" t="s">
        <v>965</v>
      </c>
      <c r="C75" s="32"/>
      <c r="D75" s="32"/>
      <c r="E75" s="32"/>
      <c r="F75" s="158"/>
      <c r="G75" s="32"/>
      <c r="H75" s="32"/>
    </row>
    <row r="76" spans="2:11" ht="15" customHeight="1">
      <c r="C76" s="15"/>
      <c r="D76" s="15"/>
      <c r="E76" s="15"/>
      <c r="F76" s="156"/>
      <c r="G76" s="15"/>
      <c r="H76" s="15"/>
    </row>
    <row r="77" spans="2:11" ht="15" customHeight="1">
      <c r="B77" s="161"/>
      <c r="C77" s="15"/>
      <c r="D77" s="15"/>
      <c r="E77" s="15"/>
      <c r="F77" s="156"/>
      <c r="G77" s="15"/>
      <c r="H77" s="15"/>
    </row>
    <row r="78" spans="2:11" ht="15" customHeight="1">
      <c r="B78" s="922"/>
      <c r="C78" s="922"/>
      <c r="D78" s="922"/>
      <c r="E78" s="922"/>
      <c r="F78" s="922"/>
      <c r="G78" s="922"/>
      <c r="H78" s="922"/>
    </row>
    <row r="79" spans="2:11" ht="15" customHeight="1">
      <c r="B79" s="280" t="s">
        <v>966</v>
      </c>
      <c r="C79" s="156"/>
      <c r="D79" s="280" t="s">
        <v>967</v>
      </c>
      <c r="E79" s="141"/>
      <c r="F79" s="156"/>
      <c r="G79" s="612" t="s">
        <v>968</v>
      </c>
      <c r="H79" s="141"/>
    </row>
    <row r="80" spans="2:11" ht="15" customHeight="1">
      <c r="B80" s="15"/>
      <c r="C80" s="15"/>
      <c r="D80" s="15"/>
      <c r="E80" s="15"/>
      <c r="F80" s="156"/>
      <c r="G80" s="15"/>
      <c r="H80" s="15"/>
    </row>
    <row r="81" spans="1:9">
      <c r="B81" s="921" t="s">
        <v>1141</v>
      </c>
      <c r="C81" s="921"/>
      <c r="D81" s="921"/>
      <c r="E81" s="921"/>
      <c r="F81" s="921"/>
      <c r="G81" s="921"/>
      <c r="H81" s="921"/>
    </row>
    <row r="83" spans="1:9"/>
    <row r="84" spans="1:9" ht="17.25" customHeight="1">
      <c r="A84" s="141"/>
      <c r="I84" s="141"/>
    </row>
    <row r="85" spans="1:9" s="141" customFormat="1">
      <c r="A85"/>
      <c r="B85"/>
      <c r="C85"/>
      <c r="D85"/>
      <c r="E85"/>
      <c r="G85"/>
      <c r="H85"/>
      <c r="I85"/>
    </row>
    <row r="86" spans="1:9" ht="14.25" customHeight="1"/>
    <row r="87" spans="1:9"/>
    <row r="88" spans="1:9" ht="15" customHeight="1">
      <c r="I88" s="334"/>
    </row>
  </sheetData>
  <autoFilter ref="F21:H73" xr:uid="{B70BC963-879C-4438-AAB4-A68680D7D131}">
    <filterColumn colId="0">
      <filters>
        <filter val="1"/>
        <filter val="50% DEPOSIT:"/>
        <filter val="CRATING &amp; FREIGHT:"/>
        <filter val="ESTIMATED TAX:"/>
        <filter val="FREIGHT-MATS:"/>
        <filter val="HOLD"/>
        <filter val="PRO BUNDLE DISCOUNT:"/>
        <filter val="SUBTOTAL:"/>
        <filter val="TITL"/>
        <filter val="TOTAL PROPOSAL:"/>
        <filter val="UQ-AD"/>
        <filter val="UQ-TC"/>
      </filters>
    </filterColumn>
  </autoFilter>
  <mergeCells count="26">
    <mergeCell ref="B18:H19"/>
    <mergeCell ref="B25:E25"/>
    <mergeCell ref="B27:E27"/>
    <mergeCell ref="B17:H17"/>
    <mergeCell ref="F8:G8"/>
    <mergeCell ref="F9:G9"/>
    <mergeCell ref="F10:G10"/>
    <mergeCell ref="F11:G11"/>
    <mergeCell ref="B15:H15"/>
    <mergeCell ref="B81:H81"/>
    <mergeCell ref="B66:D70"/>
    <mergeCell ref="F66:G66"/>
    <mergeCell ref="F67:G67"/>
    <mergeCell ref="F68:G68"/>
    <mergeCell ref="F69:G69"/>
    <mergeCell ref="F70:G70"/>
    <mergeCell ref="J30:M30"/>
    <mergeCell ref="J47:M47"/>
    <mergeCell ref="N31:N38"/>
    <mergeCell ref="B78:C78"/>
    <mergeCell ref="D78:F78"/>
    <mergeCell ref="G78:H78"/>
    <mergeCell ref="F64:G64"/>
    <mergeCell ref="F65:G65"/>
    <mergeCell ref="B72:H73"/>
    <mergeCell ref="J59:M59"/>
  </mergeCells>
  <conditionalFormatting sqref="H65">
    <cfRule type="cellIs" dxfId="25" priority="6" operator="greaterThan">
      <formula>1</formula>
    </cfRule>
  </conditionalFormatting>
  <conditionalFormatting sqref="F65">
    <cfRule type="expression" dxfId="24" priority="3">
      <formula>$H$65&gt;1</formula>
    </cfRule>
  </conditionalFormatting>
  <conditionalFormatting sqref="F8:G8">
    <cfRule type="containsText" dxfId="23" priority="2" operator="containsText" text="INVOICE">
      <formula>NOT(ISERROR(SEARCH("INVOICE",F8)))</formula>
    </cfRule>
  </conditionalFormatting>
  <conditionalFormatting sqref="K31:K38">
    <cfRule type="cellIs" dxfId="22" priority="1" operator="greaterThan">
      <formula>1</formula>
    </cfRule>
  </conditionalFormatting>
  <printOptions horizontalCentered="1"/>
  <pageMargins left="0.25" right="0.25" top="0.75" bottom="0.75" header="0.3" footer="0.3"/>
  <pageSetup scale="52" orientation="portrait" horizontalDpi="4294967293" verticalDpi="429496729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32D1-EDED-4B2B-98D1-D17AA1022127}">
  <sheetPr codeName="Sheet10">
    <tabColor rgb="FFFF0000"/>
  </sheetPr>
  <dimension ref="A1:D25"/>
  <sheetViews>
    <sheetView workbookViewId="0">
      <selection activeCell="B21" sqref="B21"/>
    </sheetView>
  </sheetViews>
  <sheetFormatPr defaultRowHeight="15"/>
  <cols>
    <col min="1" max="1" width="61.28515625" bestFit="1" customWidth="1"/>
  </cols>
  <sheetData>
    <row r="1" spans="1:4">
      <c r="A1" s="476" t="s">
        <v>1160</v>
      </c>
      <c r="B1" s="130" t="s">
        <v>1161</v>
      </c>
    </row>
    <row r="2" spans="1:4">
      <c r="A2" s="493" t="s">
        <v>1162</v>
      </c>
      <c r="B2">
        <v>1</v>
      </c>
      <c r="D2" s="53" t="s">
        <v>733</v>
      </c>
    </row>
    <row r="3" spans="1:4">
      <c r="A3" s="493" t="s">
        <v>1163</v>
      </c>
      <c r="B3">
        <v>0</v>
      </c>
      <c r="D3" s="53" t="s">
        <v>740</v>
      </c>
    </row>
    <row r="4" spans="1:4">
      <c r="A4" s="493" t="s">
        <v>1164</v>
      </c>
      <c r="B4">
        <v>0</v>
      </c>
      <c r="D4" s="53" t="s">
        <v>742</v>
      </c>
    </row>
    <row r="5" spans="1:4">
      <c r="A5" s="493" t="s">
        <v>1165</v>
      </c>
      <c r="B5">
        <v>0</v>
      </c>
      <c r="D5" s="53" t="s">
        <v>744</v>
      </c>
    </row>
    <row r="6" spans="1:4">
      <c r="A6" s="493" t="s">
        <v>1166</v>
      </c>
      <c r="B6">
        <v>0</v>
      </c>
      <c r="D6" s="53" t="s">
        <v>746</v>
      </c>
    </row>
    <row r="7" spans="1:4">
      <c r="A7" s="493" t="s">
        <v>1167</v>
      </c>
      <c r="B7">
        <v>0</v>
      </c>
      <c r="D7" s="53" t="s">
        <v>748</v>
      </c>
    </row>
    <row r="8" spans="1:4">
      <c r="A8" s="493"/>
    </row>
    <row r="9" spans="1:4">
      <c r="A9" s="180" t="s">
        <v>737</v>
      </c>
      <c r="B9" s="168" t="s">
        <v>38</v>
      </c>
    </row>
    <row r="10" spans="1:4">
      <c r="A10" s="53"/>
    </row>
    <row r="11" spans="1:4">
      <c r="A11" s="180" t="s">
        <v>1168</v>
      </c>
      <c r="B11" s="168" t="s">
        <v>49</v>
      </c>
    </row>
    <row r="12" spans="1:4">
      <c r="A12" s="493" t="s">
        <v>756</v>
      </c>
      <c r="B12">
        <f>IF(AND(B11="yes", B5+B6+B7&gt;=1),1,0)</f>
        <v>0</v>
      </c>
    </row>
    <row r="13" spans="1:4">
      <c r="A13" s="493" t="s">
        <v>758</v>
      </c>
      <c r="B13">
        <f>IF(AND(B11="yes", B2+B3+B4&gt;=1),1,0)</f>
        <v>1</v>
      </c>
    </row>
    <row r="14" spans="1:4">
      <c r="A14" s="493" t="s">
        <v>760</v>
      </c>
      <c r="B14">
        <f>IF(B11="yes",4,0)</f>
        <v>4</v>
      </c>
    </row>
    <row r="15" spans="1:4">
      <c r="A15" s="493" t="s">
        <v>765</v>
      </c>
      <c r="B15">
        <f>IF(B11="yes",2,0)</f>
        <v>2</v>
      </c>
    </row>
    <row r="16" spans="1:4">
      <c r="A16" s="493" t="s">
        <v>768</v>
      </c>
      <c r="B16">
        <f>B15</f>
        <v>2</v>
      </c>
    </row>
    <row r="17" spans="1:2">
      <c r="A17" s="180"/>
    </row>
    <row r="18" spans="1:2">
      <c r="A18" s="476" t="s">
        <v>209</v>
      </c>
      <c r="B18" s="130" t="s">
        <v>1161</v>
      </c>
    </row>
    <row r="19" spans="1:2">
      <c r="A19" s="494" t="s">
        <v>749</v>
      </c>
      <c r="B19" s="50">
        <v>1</v>
      </c>
    </row>
    <row r="20" spans="1:2">
      <c r="A20" s="495" t="s">
        <v>608</v>
      </c>
      <c r="B20" s="50">
        <v>1</v>
      </c>
    </row>
    <row r="21" spans="1:2">
      <c r="A21" s="536" t="s">
        <v>753</v>
      </c>
      <c r="B21" s="50">
        <f>IF(B20=1,2,0)</f>
        <v>2</v>
      </c>
    </row>
    <row r="22" spans="1:2">
      <c r="A22" s="536" t="s">
        <v>560</v>
      </c>
      <c r="B22" s="50">
        <v>0</v>
      </c>
    </row>
    <row r="23" spans="1:2">
      <c r="A23" s="495" t="s">
        <v>754</v>
      </c>
      <c r="B23" s="50">
        <v>0</v>
      </c>
    </row>
    <row r="24" spans="1:2">
      <c r="A24" s="53"/>
    </row>
    <row r="25" spans="1:2">
      <c r="A25" s="180" t="s">
        <v>1169</v>
      </c>
      <c r="B25" s="50"/>
    </row>
  </sheetData>
  <conditionalFormatting sqref="B2:B7">
    <cfRule type="cellIs" dxfId="21" priority="2" operator="greaterThanOrEqual">
      <formula>1</formula>
    </cfRule>
  </conditionalFormatting>
  <conditionalFormatting sqref="B19:B25">
    <cfRule type="cellIs" dxfId="20" priority="1" operator="greaterThanOrEqual">
      <formula>1</formula>
    </cfRule>
  </conditionalFormatting>
  <dataValidations count="2">
    <dataValidation type="list" allowBlank="1" showInputMessage="1" showErrorMessage="1" sqref="B9 B11 B17" xr:uid="{02472905-6025-469F-AC99-5A175382DFE5}">
      <formula1>"Yes,No"</formula1>
    </dataValidation>
    <dataValidation allowBlank="1" showInputMessage="1" showErrorMessage="1" sqref="B12:B16" xr:uid="{C2C7ECC0-651C-460F-B87D-D8AE16BDC4A5}"/>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F9FC-ADE7-49F6-9E0A-6527CAEE96BA}">
  <sheetPr codeName="Sheet17">
    <tabColor rgb="FF00B0F0"/>
    <pageSetUpPr fitToPage="1"/>
  </sheetPr>
  <dimension ref="B1:U73"/>
  <sheetViews>
    <sheetView showZeros="0" topLeftCell="A35" zoomScale="90" zoomScaleNormal="90" workbookViewId="0">
      <selection activeCell="H50" sqref="H50:H52"/>
    </sheetView>
  </sheetViews>
  <sheetFormatPr defaultRowHeight="15"/>
  <cols>
    <col min="1" max="1" width="5.42578125" customWidth="1"/>
    <col min="2" max="2" width="70.5703125" customWidth="1"/>
    <col min="4" max="4" width="15.5703125" bestFit="1" customWidth="1"/>
    <col min="5" max="5" width="13.42578125" bestFit="1" customWidth="1"/>
    <col min="6" max="6" width="10" style="141" bestFit="1" customWidth="1"/>
    <col min="7" max="7" width="19.140625" bestFit="1" customWidth="1"/>
    <col min="8" max="8" width="12.42578125" bestFit="1" customWidth="1"/>
    <col min="10" max="10" width="18.5703125" bestFit="1" customWidth="1"/>
    <col min="11" max="11" width="17.42578125" bestFit="1" customWidth="1"/>
  </cols>
  <sheetData>
    <row r="1" spans="2:12" ht="21">
      <c r="B1" s="12" t="s">
        <v>938</v>
      </c>
      <c r="C1" s="10"/>
      <c r="D1" s="10"/>
      <c r="E1" s="9"/>
      <c r="F1" s="154"/>
      <c r="G1" s="18"/>
      <c r="H1" s="19"/>
      <c r="J1" s="485"/>
      <c r="K1" s="485"/>
    </row>
    <row r="2" spans="2:12">
      <c r="B2" s="23" t="s">
        <v>940</v>
      </c>
      <c r="C2" s="23"/>
      <c r="D2" s="16"/>
      <c r="E2" s="23"/>
      <c r="F2" s="155"/>
      <c r="G2" s="15"/>
      <c r="H2" s="15"/>
      <c r="J2" s="489" t="s">
        <v>939</v>
      </c>
      <c r="K2" s="490" t="str">
        <f ca="1">B10&amp;" - Summit Soar - PSFv73 - "&amp;TEXT(H9,"MMDDYYYY")</f>
        <v>Soar Autism Center - South Fort Collins - Summit Soar - PSFv73 - 07222026</v>
      </c>
    </row>
    <row r="3" spans="2:12">
      <c r="B3" s="23" t="s">
        <v>942</v>
      </c>
      <c r="C3" s="23"/>
      <c r="D3" s="16"/>
      <c r="E3" s="23"/>
      <c r="F3" s="156"/>
      <c r="G3" s="15"/>
      <c r="H3" s="15"/>
      <c r="J3" s="489" t="s">
        <v>941</v>
      </c>
      <c r="K3" s="490" t="str">
        <f ca="1">B10&amp;" - Summit Soar - Proposal "&amp;F9&amp;" - "&amp;TEXT(H9,"MMDDYYYY")</f>
        <v>Soar Autism Center - South Fort Collins - Summit Soar - Proposal SOAR-SS-260722-001 - 07222026</v>
      </c>
    </row>
    <row r="4" spans="2:12">
      <c r="B4" s="23" t="s">
        <v>943</v>
      </c>
      <c r="C4" s="24"/>
      <c r="D4" s="16"/>
      <c r="E4" s="23"/>
    </row>
    <row r="5" spans="2:12">
      <c r="B5" s="16" t="s">
        <v>944</v>
      </c>
      <c r="C5" s="16"/>
      <c r="D5" s="16"/>
      <c r="E5" s="23"/>
    </row>
    <row r="6" spans="2:12">
      <c r="B6" t="s">
        <v>945</v>
      </c>
      <c r="C6" s="23"/>
      <c r="D6" s="16"/>
      <c r="E6" s="23"/>
    </row>
    <row r="7" spans="2:12">
      <c r="B7" s="16"/>
      <c r="C7" s="16"/>
      <c r="D7" s="16"/>
      <c r="E7" s="23"/>
    </row>
    <row r="8" spans="2:12">
      <c r="B8" s="939" t="s">
        <v>946</v>
      </c>
      <c r="C8" s="940"/>
      <c r="D8" s="23"/>
      <c r="E8" s="15"/>
      <c r="F8" s="899" t="str">
        <f>IF(L11="Yes","INVOICE #","PROPOSAL #")</f>
        <v>PROPOSAL #</v>
      </c>
      <c r="G8" s="900"/>
      <c r="H8" s="42" t="s">
        <v>948</v>
      </c>
    </row>
    <row r="9" spans="2:12">
      <c r="B9" s="16" t="str">
        <f>Discovery!B2</f>
        <v>Tyler Galiotto</v>
      </c>
      <c r="C9" s="23"/>
      <c r="D9" s="23"/>
      <c r="E9" s="15"/>
      <c r="F9" s="941" t="str">
        <f ca="1">"SOAR-" &amp;
UPPER(LEFT(B10,1) &amp; RIGHT(B10,1)) &amp;
"-" &amp; TEXT(H9,"yymmdd") &amp;
"-" &amp;
TEXT(
   IF(AND(ISNUMBER(K11),K11&gt;0),
      K11,
      COUNTIFS($B$10:B10,B10,$H$9:H9,H9)
   ),
"000")</f>
        <v>SOAR-SS-260722-001</v>
      </c>
      <c r="G9" s="942"/>
      <c r="H9" s="43">
        <f ca="1">TODAY()</f>
        <v>46225</v>
      </c>
    </row>
    <row r="10" spans="2:12">
      <c r="B10" s="16" t="str">
        <f>Discovery!B3</f>
        <v>Soar Autism Center - South Fort Collins</v>
      </c>
      <c r="C10" s="23"/>
      <c r="D10" s="23"/>
      <c r="E10" s="15"/>
      <c r="F10" s="839" t="s">
        <v>949</v>
      </c>
      <c r="G10" s="901"/>
      <c r="H10" s="44" t="s">
        <v>950</v>
      </c>
    </row>
    <row r="11" spans="2:12">
      <c r="B11" s="16" t="str">
        <f>Discovery!B4</f>
        <v>3801 Automation Way</v>
      </c>
      <c r="C11" s="23"/>
      <c r="D11" s="23"/>
      <c r="E11" s="15"/>
      <c r="F11" s="902" t="str">
        <f>"SSG-"&amp;Discovery!B13</f>
        <v>SSG-12552093278</v>
      </c>
      <c r="G11" s="903"/>
      <c r="H11" s="45">
        <f ca="1">H9+7</f>
        <v>46232</v>
      </c>
      <c r="J11" s="520" t="s">
        <v>951</v>
      </c>
      <c r="K11" s="53">
        <v>0</v>
      </c>
      <c r="L11" s="48"/>
    </row>
    <row r="12" spans="2:12">
      <c r="B12" s="16" t="str">
        <f>Discovery!B5&amp;" "&amp;Discovery!B6</f>
        <v>Fort Collins, CO 80525</v>
      </c>
      <c r="C12" s="23"/>
      <c r="D12" s="23"/>
      <c r="E12" s="15"/>
      <c r="F12" s="156"/>
      <c r="G12" s="15"/>
      <c r="H12" s="15"/>
    </row>
    <row r="13" spans="2:12">
      <c r="B13" s="16"/>
      <c r="C13" s="23"/>
      <c r="D13" s="23"/>
      <c r="E13" s="15"/>
      <c r="F13" s="156"/>
      <c r="G13" s="15"/>
      <c r="H13" s="15"/>
    </row>
    <row r="14" spans="2:12">
      <c r="B14" s="16"/>
      <c r="C14" s="16"/>
      <c r="D14" s="16"/>
      <c r="E14" s="16"/>
      <c r="F14" s="156"/>
      <c r="G14" s="15"/>
      <c r="H14" s="15"/>
    </row>
    <row r="15" spans="2:12" ht="15.75">
      <c r="B15" s="896" t="s">
        <v>1170</v>
      </c>
      <c r="C15" s="897"/>
      <c r="D15" s="897"/>
      <c r="E15" s="897"/>
      <c r="F15" s="897"/>
      <c r="G15" s="897"/>
      <c r="H15" s="898"/>
    </row>
    <row r="16" spans="2:12">
      <c r="B16" s="933" t="str" cm="1">
        <f t="array" ref="B16">_xlfn.IFS(F21=1,B21,F22=1,B22,F23=1,B23,F24=1,B24,F25=1,B25,F26=1,B26,F27=1,B27)</f>
        <v>SUMMIT SOAR S1 - MOBILE FREE-STANDING SWING FRAME W/ SINGLE CROSS BEAM</v>
      </c>
      <c r="C16" s="934"/>
      <c r="D16" s="934"/>
      <c r="E16" s="934"/>
      <c r="F16" s="934"/>
      <c r="G16" s="934"/>
      <c r="H16" s="935"/>
    </row>
    <row r="17" spans="2:8">
      <c r="B17" s="936"/>
      <c r="C17" s="937"/>
      <c r="D17" s="937"/>
      <c r="E17" s="937"/>
      <c r="F17" s="937"/>
      <c r="G17" s="937"/>
      <c r="H17" s="938"/>
    </row>
    <row r="18" spans="2:8">
      <c r="B18" s="23"/>
      <c r="C18" s="23"/>
      <c r="D18" s="23"/>
      <c r="E18" s="16"/>
      <c r="F18" s="155"/>
      <c r="G18" s="16"/>
      <c r="H18" s="16"/>
    </row>
    <row r="19" spans="2:8">
      <c r="B19" s="26" t="s">
        <v>175</v>
      </c>
      <c r="C19" s="27"/>
      <c r="D19" s="27" t="s">
        <v>955</v>
      </c>
      <c r="E19" s="28"/>
      <c r="F19" s="157" t="s">
        <v>957</v>
      </c>
      <c r="G19" s="20" t="s">
        <v>974</v>
      </c>
      <c r="H19" s="21" t="s">
        <v>975</v>
      </c>
    </row>
    <row r="20" spans="2:8">
      <c r="B20" s="33" t="s">
        <v>1125</v>
      </c>
      <c r="C20" s="29"/>
      <c r="D20" s="29"/>
      <c r="E20" s="200"/>
      <c r="F20" s="201" t="s">
        <v>976</v>
      </c>
      <c r="G20" s="202"/>
      <c r="H20" s="203"/>
    </row>
    <row r="21" spans="2:8">
      <c r="B21" s="169" t="str">
        <f>UPPER(IFERROR(VLOOKUP(D21,Calcs!B:F,3,FALSE),""))</f>
        <v>SUMMIT SOAR S1 - MOBILE FREE-STANDING SWING FRAME W/ SINGLE CROSS BEAM</v>
      </c>
      <c r="C21" s="23"/>
      <c r="D21" t="s">
        <v>732</v>
      </c>
      <c r="E21" s="23"/>
      <c r="F21" s="577">
        <f>IFERROR(VLOOKUP(D21,Calcs!$B$231:$F$247,5,FALSE),"")</f>
        <v>1</v>
      </c>
      <c r="G21" s="322">
        <f>IFERROR(VLOOKUP(D21,Calcs!B:Z,11,FALSE),"")</f>
        <v>3900</v>
      </c>
      <c r="H21" s="416">
        <f>IF(F21=1,F21*G21,0)</f>
        <v>3900</v>
      </c>
    </row>
    <row r="22" spans="2:8">
      <c r="B22" s="169" t="str">
        <f>UPPER(IFERROR(VLOOKUP(D22,Calcs!B:F,3,FALSE),""))</f>
        <v/>
      </c>
      <c r="C22" s="23"/>
      <c r="D22" t="s">
        <v>736</v>
      </c>
      <c r="E22" s="23"/>
      <c r="F22" s="577" t="str">
        <f>IFERROR(VLOOKUP(D22,Calcs!$B$231:$F$247,5,FALSE),"")</f>
        <v/>
      </c>
      <c r="G22" s="322" t="str">
        <f>IFERROR(VLOOKUP(D22,Calcs!B:Z,11,FALSE),"")</f>
        <v/>
      </c>
      <c r="H22" s="416">
        <f t="shared" ref="H22:H27" si="0">IF(F22=1,F22*G22,0)</f>
        <v>0</v>
      </c>
    </row>
    <row r="23" spans="2:8">
      <c r="B23" s="169" t="str">
        <f>UPPER(IFERROR(VLOOKUP(D23,Calcs!B:F,3,FALSE),""))</f>
        <v/>
      </c>
      <c r="C23" s="23"/>
      <c r="D23" t="s">
        <v>739</v>
      </c>
      <c r="E23" s="23"/>
      <c r="F23" s="577" t="str">
        <f>IFERROR(VLOOKUP(D23,Calcs!$B$231:$F$247,5,FALSE),"")</f>
        <v/>
      </c>
      <c r="G23" s="322" t="str">
        <f>IFERROR(VLOOKUP(D23,Calcs!B:Z,11,FALSE),"")</f>
        <v/>
      </c>
      <c r="H23" s="416">
        <f>IF(F23=1,F23*G23,0)</f>
        <v>0</v>
      </c>
    </row>
    <row r="24" spans="2:8">
      <c r="B24" s="169" t="str">
        <f>UPPER(IFERROR(VLOOKUP(D24,Calcs!B:F,3,FALSE),""))</f>
        <v/>
      </c>
      <c r="C24" s="23"/>
      <c r="D24" t="s">
        <v>741</v>
      </c>
      <c r="E24" s="23"/>
      <c r="F24" s="577" t="str">
        <f>IFERROR(VLOOKUP(D24,Calcs!$B$231:$F$247,5,FALSE),"")</f>
        <v/>
      </c>
      <c r="G24" s="322" t="str">
        <f>IFERROR(VLOOKUP(D24,Calcs!B:Z,11,FALSE),"")</f>
        <v/>
      </c>
      <c r="H24" s="416">
        <f t="shared" si="0"/>
        <v>0</v>
      </c>
    </row>
    <row r="25" spans="2:8">
      <c r="B25" s="742" t="str">
        <f>UPPER(IFERROR(VLOOKUP(D25,Calcs!B:F,3,FALSE),""))</f>
        <v/>
      </c>
      <c r="C25" s="171"/>
      <c r="D25" s="320" t="s">
        <v>743</v>
      </c>
      <c r="E25" s="171"/>
      <c r="F25" s="577" t="str">
        <f>IFERROR(VLOOKUP(D25,Calcs!$B$231:$F$247,5,FALSE),"")</f>
        <v/>
      </c>
      <c r="G25" s="322" t="str">
        <f>IFERROR(VLOOKUP(D25,Calcs!B:Z,11,FALSE),"")</f>
        <v/>
      </c>
      <c r="H25" s="416">
        <f t="shared" si="0"/>
        <v>0</v>
      </c>
    </row>
    <row r="26" spans="2:8">
      <c r="B26" s="742" t="str">
        <f>UPPER(IFERROR(VLOOKUP(D26,Calcs!B:F,3,FALSE),""))</f>
        <v/>
      </c>
      <c r="C26" s="171"/>
      <c r="D26" s="320" t="s">
        <v>745</v>
      </c>
      <c r="E26" s="171"/>
      <c r="F26" s="577" t="str">
        <f>IFERROR(VLOOKUP(D26,Calcs!$B$231:$F$247,5,FALSE),"")</f>
        <v/>
      </c>
      <c r="G26" s="322" t="str">
        <f>IFERROR(VLOOKUP(D26,Calcs!B:Z,11,FALSE),"")</f>
        <v/>
      </c>
      <c r="H26" s="416">
        <f t="shared" si="0"/>
        <v>0</v>
      </c>
    </row>
    <row r="27" spans="2:8">
      <c r="B27" s="742" t="str">
        <f>UPPER(IFERROR(VLOOKUP(D27,Calcs!B:F,3,FALSE),""))</f>
        <v/>
      </c>
      <c r="C27" s="171"/>
      <c r="D27" s="320" t="s">
        <v>747</v>
      </c>
      <c r="E27" s="171"/>
      <c r="F27" s="577" t="str">
        <f>IFERROR(VLOOKUP(D27,Calcs!$B$231:$F$247,5,FALSE),"")</f>
        <v/>
      </c>
      <c r="G27" s="322" t="str">
        <f>IFERROR(VLOOKUP(D27,Calcs!B:Z,11,FALSE),"")</f>
        <v/>
      </c>
      <c r="H27" s="416">
        <f t="shared" si="0"/>
        <v>0</v>
      </c>
    </row>
    <row r="28" spans="2:8">
      <c r="B28" s="170" t="s">
        <v>175</v>
      </c>
      <c r="C28" s="171"/>
      <c r="D28" s="171"/>
      <c r="E28" s="171"/>
      <c r="F28" s="578">
        <v>1</v>
      </c>
      <c r="G28" s="570"/>
      <c r="H28" s="416"/>
    </row>
    <row r="29" spans="2:8">
      <c r="B29" s="926" t="s">
        <v>1171</v>
      </c>
      <c r="C29" s="927"/>
      <c r="D29" s="927"/>
      <c r="E29" s="927"/>
      <c r="F29" s="578">
        <v>1</v>
      </c>
      <c r="G29" s="570"/>
      <c r="H29" s="416"/>
    </row>
    <row r="30" spans="2:8">
      <c r="B30" s="926"/>
      <c r="C30" s="927"/>
      <c r="D30" s="927"/>
      <c r="E30" s="927"/>
      <c r="F30" s="578">
        <v>1</v>
      </c>
      <c r="G30" s="571"/>
      <c r="H30" s="572"/>
    </row>
    <row r="31" spans="2:8">
      <c r="B31" s="926"/>
      <c r="C31" s="927"/>
      <c r="D31" s="927"/>
      <c r="E31" s="927"/>
      <c r="F31" s="578">
        <v>1</v>
      </c>
      <c r="G31" s="198"/>
      <c r="H31" s="208"/>
    </row>
    <row r="32" spans="2:8">
      <c r="B32" s="926"/>
      <c r="C32" s="927"/>
      <c r="D32" s="927"/>
      <c r="E32" s="927"/>
      <c r="F32" s="578">
        <v>1</v>
      </c>
      <c r="G32" s="570"/>
      <c r="H32" s="416"/>
    </row>
    <row r="33" spans="2:8">
      <c r="B33" s="926"/>
      <c r="C33" s="927"/>
      <c r="D33" s="927"/>
      <c r="E33" s="927"/>
      <c r="F33" s="578">
        <v>1</v>
      </c>
      <c r="G33" s="198"/>
      <c r="H33" s="208"/>
    </row>
    <row r="34" spans="2:8">
      <c r="B34" s="926"/>
      <c r="C34" s="927"/>
      <c r="D34" s="927"/>
      <c r="E34" s="927"/>
      <c r="F34" s="578">
        <v>1</v>
      </c>
      <c r="G34" s="198"/>
      <c r="H34" s="208"/>
    </row>
    <row r="35" spans="2:8">
      <c r="B35" s="926"/>
      <c r="C35" s="927"/>
      <c r="D35" s="927"/>
      <c r="E35" s="927"/>
      <c r="F35" s="578">
        <v>1</v>
      </c>
      <c r="G35" s="198"/>
      <c r="H35" s="208"/>
    </row>
    <row r="36" spans="2:8">
      <c r="B36" s="926"/>
      <c r="C36" s="927"/>
      <c r="D36" s="927"/>
      <c r="E36" s="927"/>
      <c r="F36" s="578">
        <v>1</v>
      </c>
      <c r="G36" s="198"/>
      <c r="H36" s="208"/>
    </row>
    <row r="37" spans="2:8">
      <c r="B37" s="926"/>
      <c r="C37" s="927"/>
      <c r="D37" s="927"/>
      <c r="E37" s="927"/>
      <c r="F37" s="578">
        <v>1</v>
      </c>
      <c r="G37" s="199"/>
      <c r="H37" s="209"/>
    </row>
    <row r="38" spans="2:8">
      <c r="B38" s="926"/>
      <c r="C38" s="927"/>
      <c r="D38" s="927"/>
      <c r="E38" s="927"/>
      <c r="F38" s="578">
        <v>1</v>
      </c>
      <c r="G38" s="570"/>
      <c r="H38" s="416"/>
    </row>
    <row r="39" spans="2:8">
      <c r="B39" s="929" t="s">
        <v>405</v>
      </c>
      <c r="C39" s="930"/>
      <c r="D39" s="930"/>
      <c r="E39" s="930"/>
      <c r="F39" s="578">
        <v>1</v>
      </c>
      <c r="G39" s="570"/>
      <c r="H39" s="572">
        <f>SUM(H21:H27)</f>
        <v>3900</v>
      </c>
    </row>
    <row r="40" spans="2:8">
      <c r="B40" s="183"/>
      <c r="C40" s="184"/>
      <c r="D40" s="184"/>
      <c r="E40" s="184"/>
      <c r="F40" s="579">
        <v>1</v>
      </c>
      <c r="G40" s="573"/>
      <c r="H40" s="416"/>
    </row>
    <row r="41" spans="2:8">
      <c r="B41" s="917" t="s">
        <v>1172</v>
      </c>
      <c r="C41" s="932"/>
      <c r="D41" s="172"/>
      <c r="E41" s="172"/>
      <c r="F41" s="580">
        <v>1</v>
      </c>
      <c r="G41" s="574"/>
      <c r="H41" s="575"/>
    </row>
    <row r="42" spans="2:8">
      <c r="B42" s="335" t="s">
        <v>981</v>
      </c>
      <c r="C42" s="159"/>
      <c r="D42" s="284"/>
      <c r="E42" s="284"/>
      <c r="F42" s="579" t="s">
        <v>981</v>
      </c>
      <c r="G42" s="573"/>
      <c r="H42" s="416"/>
    </row>
    <row r="43" spans="2:8">
      <c r="B43" s="35" t="str">
        <f>IFERROR(VLOOKUP(D43,Calcs!$B$231:$F$247,3,FALSE),"")</f>
        <v>Wheelchair Swing Platform - Adult</v>
      </c>
      <c r="C43" s="159"/>
      <c r="D43" s="53" t="s">
        <v>751</v>
      </c>
      <c r="E43" s="284"/>
      <c r="F43" s="581">
        <f>IFERROR(VLOOKUP(D43,Calcs!$B$231:$F$247,5,FALSE),"")</f>
        <v>1</v>
      </c>
      <c r="G43" s="322">
        <f>IFERROR(VLOOKUP(D43,Calcs!B233:Z247,12,FALSE),"")</f>
        <v>2110.5</v>
      </c>
      <c r="H43" s="576">
        <f>IFERROR(VLOOKUP(D43,Calcs!$B$231:$M$247,11,FALSE),"")</f>
        <v>2110.5</v>
      </c>
    </row>
    <row r="44" spans="2:8">
      <c r="B44" s="557" t="str">
        <f>IF(F43&gt;0.99,"Passthrough Freight Charge (Required)","")</f>
        <v>Passthrough Freight Charge (Required)</v>
      </c>
      <c r="C44" s="159"/>
      <c r="D44" s="144" t="s">
        <v>628</v>
      </c>
      <c r="E44" s="241" t="s">
        <v>995</v>
      </c>
      <c r="F44" s="250">
        <f>IF(F43&gt;0.99,1,"")</f>
        <v>1</v>
      </c>
      <c r="G44" s="465"/>
      <c r="H44" s="561" t="str">
        <f>IF(F44=1,"TBD","")</f>
        <v>TBD</v>
      </c>
    </row>
    <row r="45" spans="2:8">
      <c r="B45" s="35" t="str">
        <f>IFERROR(VLOOKUP(D45,Calcs!$B$231:$F$247,3,FALSE),"")</f>
        <v/>
      </c>
      <c r="C45" s="159"/>
      <c r="D45" s="53" t="s">
        <v>559</v>
      </c>
      <c r="E45" s="284"/>
      <c r="F45" s="581" t="str">
        <f>IFERROR(VLOOKUP(D45,Calcs!$B$231:$F$247,5,FALSE),"")</f>
        <v/>
      </c>
      <c r="G45" s="322" t="str">
        <f>IFERROR(VLOOKUP(D45,Calcs!B234:Z248,12,FALSE),"")</f>
        <v/>
      </c>
      <c r="H45" s="576" t="str">
        <f>IFERROR(VLOOKUP(D45,Calcs!$B$231:$M$247,11,FALSE),"")</f>
        <v/>
      </c>
    </row>
    <row r="46" spans="2:8">
      <c r="B46" s="35" t="str">
        <f>IFERROR(VLOOKUP(D46,Calcs!$B$231:$F$247,3,FALSE),"")</f>
        <v>2 Hole Heavy Duty Aluminum Swing Hangers</v>
      </c>
      <c r="C46" s="159"/>
      <c r="D46" s="53" t="s">
        <v>752</v>
      </c>
      <c r="E46" s="284"/>
      <c r="F46" s="581">
        <f>IFERROR(VLOOKUP(D46,Calcs!$B$231:$F$247,5,FALSE),"")</f>
        <v>2</v>
      </c>
      <c r="G46" s="322">
        <f>IFERROR(VLOOKUP(D46,Calcs!B234:Z248,11,FALSE),"")</f>
        <v>64.86</v>
      </c>
      <c r="H46" s="576">
        <f>IFERROR(VLOOKUP(D46,Calcs!$B$231:$M$247,12,FALSE),"")</f>
        <v>129.72</v>
      </c>
    </row>
    <row r="47" spans="2:8">
      <c r="B47" s="35" t="str">
        <f>IFERROR(VLOOKUP(D47,Calcs!$B$231:$F$247,3,FALSE),"")</f>
        <v>3/8 Double Swivel Eye Bolt</v>
      </c>
      <c r="C47" s="159"/>
      <c r="D47" s="53" t="s">
        <v>653</v>
      </c>
      <c r="E47" s="284"/>
      <c r="F47" s="581">
        <f>IFERROR(VLOOKUP(D47,Calcs!$B$231:$F$247,5,FALSE),"")</f>
        <v>1</v>
      </c>
      <c r="G47" s="322">
        <f>IFERROR(VLOOKUP(D47,Calcs!B234:Z248,11,FALSE),"")</f>
        <v>158.72999999999999</v>
      </c>
      <c r="H47" s="576">
        <f>IFERROR(VLOOKUP(D47,Calcs!$B$231:$M$247,12,FALSE),"")</f>
        <v>158.72999999999999</v>
      </c>
    </row>
    <row r="48" spans="2:8">
      <c r="B48" s="35" t="str">
        <f>IFERROR(VLOOKUP(D48,Calcs!$B$231:$F$247,3,FALSE),"")</f>
        <v/>
      </c>
      <c r="C48" s="159"/>
      <c r="D48" s="53" t="s">
        <v>755</v>
      </c>
      <c r="E48" s="284"/>
      <c r="F48" s="581" t="str">
        <f>IFERROR(VLOOKUP(D48,Calcs!$B$231:$F$247,5,FALSE),"")</f>
        <v/>
      </c>
      <c r="G48" s="322" t="str">
        <f>IFERROR(VLOOKUP(D48,Calcs!B234:Z248,11,FALSE),"")</f>
        <v/>
      </c>
      <c r="H48" s="576" t="str">
        <f>IFERROR(VLOOKUP(D48,Calcs!$B$231:$M$247,12,FALSE),"")</f>
        <v/>
      </c>
    </row>
    <row r="49" spans="2:8">
      <c r="B49" s="35" t="str">
        <f>IFERROR(VLOOKUP(D49,Calcs!$B$231:$F$247,3,FALSE),"")</f>
        <v>Soar Floor Mat System (100" x 80" x 3.25") - Single Fold</v>
      </c>
      <c r="C49" s="159"/>
      <c r="D49" s="53" t="s">
        <v>757</v>
      </c>
      <c r="E49" s="284"/>
      <c r="F49" s="581">
        <f>IFERROR(VLOOKUP(D49,Calcs!$B$231:$F$247,5,FALSE),"")</f>
        <v>1</v>
      </c>
      <c r="G49" s="322">
        <f>IFERROR(VLOOKUP(D49,Calcs!B234:Z248,11,FALSE),"")</f>
        <v>1042.5</v>
      </c>
      <c r="H49" s="576">
        <f>IFERROR(VLOOKUP(D49,Calcs!$B$231:$M$247,12,FALSE),"")</f>
        <v>1042.5</v>
      </c>
    </row>
    <row r="50" spans="2:8">
      <c r="B50" s="35" t="str">
        <f>IFERROR(VLOOKUP(D50,Calcs!$B$231:$F$247,3,FALSE),"")</f>
        <v>Soar Base Beam U Column Wrap (30" x 4.5" x 3.5" x 3.5" x 1.375")</v>
      </c>
      <c r="C50" s="159"/>
      <c r="D50" s="53" t="s">
        <v>759</v>
      </c>
      <c r="E50" s="284"/>
      <c r="F50" s="581">
        <f>IFERROR(VLOOKUP(D50,Calcs!$B$231:$F$247,5,FALSE),"")</f>
        <v>4</v>
      </c>
      <c r="G50" s="322">
        <f>IFERROR(VLOOKUP(D50,Calcs!B235:Z249,11,FALSE),"")</f>
        <v>178.5</v>
      </c>
      <c r="H50" s="576">
        <f>IFERROR(VLOOKUP(D50,Calcs!$B$231:$M$247,12,FALSE),"")</f>
        <v>714</v>
      </c>
    </row>
    <row r="51" spans="2:8">
      <c r="B51" s="35" t="str">
        <f>IFERROR(VLOOKUP(D51,Calcs!$B$231:$F$247,3,FALSE),"")</f>
        <v>Gusset Plate Padding</v>
      </c>
      <c r="C51" s="159"/>
      <c r="D51" s="53" t="s">
        <v>764</v>
      </c>
      <c r="E51" s="284"/>
      <c r="F51" s="581">
        <f>IFERROR(VLOOKUP(D51,Calcs!$B$231:$F$247,5,FALSE),"")</f>
        <v>2</v>
      </c>
      <c r="G51" s="322">
        <f>IFERROR(VLOOKUP(D51,Calcs!B236:Z250,11,FALSE),"")</f>
        <v>175.5</v>
      </c>
      <c r="H51" s="576">
        <f>IFERROR(VLOOKUP(D51,Calcs!$B$231:$M$247,12,FALSE),"")</f>
        <v>351</v>
      </c>
    </row>
    <row r="52" spans="2:8">
      <c r="B52" s="35" t="str">
        <f>IFERROR(VLOOKUP(D52,Calcs!$B$231:$F$247,3,FALSE),"")</f>
        <v>Soar Column Wrap (60" x 4.5" x 4.5" x 1.375")</v>
      </c>
      <c r="C52" s="23"/>
      <c r="D52" s="53" t="s">
        <v>767</v>
      </c>
      <c r="E52" s="23"/>
      <c r="F52" s="581">
        <f>IFERROR(VLOOKUP(D52,Calcs!$B$231:$F$247,5,FALSE),"")</f>
        <v>2</v>
      </c>
      <c r="G52" s="322">
        <f>IFERROR(VLOOKUP(D52,Calcs!B237:Z251,11,FALSE),"")</f>
        <v>221.13</v>
      </c>
      <c r="H52" s="576">
        <f>IFERROR(VLOOKUP(D52,Calcs!$B$231:$M$247,12,FALSE),"")</f>
        <v>442.26</v>
      </c>
    </row>
    <row r="53" spans="2:8">
      <c r="B53" s="913" t="s">
        <v>405</v>
      </c>
      <c r="C53" s="914"/>
      <c r="D53" s="914"/>
      <c r="E53" s="914"/>
      <c r="F53" s="582" t="s">
        <v>978</v>
      </c>
      <c r="G53" s="323"/>
      <c r="H53" s="209">
        <f>SUM(H43:H52)</f>
        <v>4948.71</v>
      </c>
    </row>
    <row r="54" spans="2:8">
      <c r="B54" s="37"/>
      <c r="C54" s="23"/>
      <c r="D54" s="23"/>
      <c r="E54" s="23"/>
      <c r="F54" s="579" t="s">
        <v>979</v>
      </c>
      <c r="G54" s="322"/>
      <c r="H54" s="208"/>
    </row>
    <row r="55" spans="2:8">
      <c r="B55" s="38" t="s">
        <v>1137</v>
      </c>
      <c r="C55" s="25"/>
      <c r="D55" s="25"/>
      <c r="E55" s="25"/>
      <c r="F55" s="580">
        <v>1</v>
      </c>
      <c r="G55" s="325"/>
      <c r="H55" s="210"/>
    </row>
    <row r="56" spans="2:8">
      <c r="B56" s="35" t="s">
        <v>1138</v>
      </c>
      <c r="C56" s="23"/>
      <c r="D56" s="23" t="s">
        <v>1139</v>
      </c>
      <c r="E56" s="23"/>
      <c r="F56" s="324">
        <v>1</v>
      </c>
      <c r="G56" s="326"/>
      <c r="H56" s="207" cm="1">
        <f t="array" ref="H56">_xlfn.IFS(Discovery!B44="Cardinal",0,Discovery!B44="Prismatic",350,Discovery!B44="Prismatic-Other",Discovery!B45)</f>
        <v>0</v>
      </c>
    </row>
    <row r="57" spans="2:8">
      <c r="B57" s="35"/>
      <c r="C57" s="23"/>
      <c r="D57" s="23"/>
      <c r="E57" s="23"/>
      <c r="F57" s="324" t="s">
        <v>979</v>
      </c>
      <c r="G57" s="326"/>
      <c r="H57" s="206"/>
    </row>
    <row r="58" spans="2:8">
      <c r="B58" s="162"/>
      <c r="C58" s="40"/>
      <c r="D58" s="211"/>
      <c r="E58" s="212"/>
      <c r="F58" s="928" t="s">
        <v>960</v>
      </c>
      <c r="G58" s="910"/>
      <c r="H58" s="179">
        <f>H39+H53+H56</f>
        <v>8848.7099999999991</v>
      </c>
    </row>
    <row r="59" spans="2:8">
      <c r="B59" s="31"/>
      <c r="C59" s="31"/>
      <c r="D59" s="31"/>
      <c r="E59" s="31"/>
      <c r="F59" s="907" t="s">
        <v>1039</v>
      </c>
      <c r="G59" s="908"/>
      <c r="H59" s="261">
        <f>Calcs!Q243</f>
        <v>0</v>
      </c>
    </row>
    <row r="60" spans="2:8">
      <c r="B60" s="622"/>
      <c r="C60" s="622"/>
      <c r="D60" s="622"/>
      <c r="E60" s="31"/>
      <c r="F60" s="909" t="str">
        <f>IFERROR(IF(Calcs!Q243&gt;0.01,"DISCOUNT EXPIRATION:",""),"")</f>
        <v/>
      </c>
      <c r="G60" s="910"/>
      <c r="H60" s="129" t="str">
        <f>IFERROR(IF(Calcs!Q243&gt;0.01,(H9+6),""),"")</f>
        <v/>
      </c>
    </row>
    <row r="61" spans="2:8">
      <c r="B61" s="829" t="s">
        <v>1173</v>
      </c>
      <c r="C61" s="829"/>
      <c r="D61" s="829"/>
      <c r="E61" s="15"/>
      <c r="F61" s="909" t="s">
        <v>1041</v>
      </c>
      <c r="G61" s="910"/>
      <c r="H61" s="149" t="str">
        <f>IF(Discovery!B19="TBD","TBD",Discovery!B19)</f>
        <v>TBD</v>
      </c>
    </row>
    <row r="62" spans="2:8">
      <c r="B62" s="829"/>
      <c r="C62" s="829"/>
      <c r="D62" s="829"/>
      <c r="E62" s="15"/>
      <c r="F62" s="909" t="s">
        <v>1042</v>
      </c>
      <c r="G62" s="910"/>
      <c r="H62" s="149">
        <f>IF(Discovery!B24="TBD","TBD",Discovery!B24)</f>
        <v>859.14</v>
      </c>
    </row>
    <row r="63" spans="2:8">
      <c r="B63" s="829"/>
      <c r="C63" s="829"/>
      <c r="D63" s="829"/>
      <c r="E63" s="15"/>
      <c r="F63" s="909" t="s">
        <v>1140</v>
      </c>
      <c r="G63" s="910"/>
      <c r="H63" s="149">
        <f>IF(Discovery!B25="TBD","TBD",Discovery!B25)</f>
        <v>294.07</v>
      </c>
    </row>
    <row r="64" spans="2:8">
      <c r="B64" s="829"/>
      <c r="C64" s="829"/>
      <c r="D64" s="829"/>
      <c r="E64" s="15"/>
      <c r="F64" s="827" t="s">
        <v>962</v>
      </c>
      <c r="G64" s="828"/>
      <c r="H64" s="319">
        <f>H58-H59+(IF(H63="TBD",0,H63))+(IF(H61="TBD",0,H61))+(IF(H62="TBD",0,H62))</f>
        <v>10001.919999999998</v>
      </c>
    </row>
    <row r="65" spans="2:21">
      <c r="B65" s="622"/>
      <c r="C65" s="622"/>
      <c r="D65" s="622"/>
      <c r="E65" s="15"/>
      <c r="F65" s="236"/>
      <c r="G65" s="236"/>
      <c r="H65" s="621"/>
    </row>
    <row r="66" spans="2:21">
      <c r="B66" s="829" t="s">
        <v>1174</v>
      </c>
      <c r="C66" s="829"/>
      <c r="D66" s="829"/>
      <c r="E66" s="829"/>
      <c r="F66" s="829"/>
      <c r="G66" s="829"/>
      <c r="H66" s="829"/>
    </row>
    <row r="67" spans="2:21">
      <c r="B67" s="829"/>
      <c r="C67" s="829"/>
      <c r="D67" s="829"/>
      <c r="E67" s="829"/>
      <c r="F67" s="829"/>
      <c r="G67" s="829"/>
      <c r="H67" s="829"/>
    </row>
    <row r="68" spans="2:21">
      <c r="B68" s="32"/>
      <c r="C68" s="32"/>
      <c r="D68" s="32"/>
      <c r="E68" s="32"/>
      <c r="F68" s="158"/>
      <c r="G68" s="32"/>
      <c r="H68" s="32"/>
    </row>
    <row r="69" spans="2:21">
      <c r="B69" s="161" t="s">
        <v>965</v>
      </c>
      <c r="C69" s="418"/>
      <c r="D69" s="418"/>
      <c r="E69" s="418"/>
      <c r="F69" s="332"/>
      <c r="G69" s="418"/>
      <c r="H69" s="418"/>
    </row>
    <row r="70" spans="2:21">
      <c r="B70" s="598"/>
      <c r="C70" s="569"/>
      <c r="D70" s="569"/>
      <c r="E70" s="569"/>
      <c r="F70" s="569"/>
      <c r="G70" s="569"/>
      <c r="H70" s="569"/>
      <c r="O70" s="634"/>
      <c r="P70" s="634"/>
      <c r="Q70" s="634"/>
      <c r="R70" s="634"/>
      <c r="S70" s="634"/>
      <c r="T70" s="634"/>
      <c r="U70" s="634"/>
    </row>
    <row r="71" spans="2:21">
      <c r="B71" s="419" t="s">
        <v>966</v>
      </c>
      <c r="C71" s="931" t="s">
        <v>967</v>
      </c>
      <c r="D71" s="931"/>
      <c r="E71" s="611"/>
      <c r="F71" s="611"/>
      <c r="G71" s="597" t="s">
        <v>968</v>
      </c>
      <c r="H71" s="611"/>
      <c r="O71" s="634"/>
      <c r="P71" s="634"/>
      <c r="Q71" s="634"/>
      <c r="R71" s="634"/>
      <c r="S71" s="634"/>
      <c r="T71" s="634"/>
      <c r="U71" s="634"/>
    </row>
    <row r="72" spans="2:21">
      <c r="B72" s="15"/>
      <c r="C72" s="15"/>
      <c r="D72" s="15"/>
      <c r="E72" s="15"/>
      <c r="F72" s="156"/>
      <c r="G72" s="15"/>
      <c r="H72" s="15"/>
    </row>
    <row r="73" spans="2:21">
      <c r="B73" s="921" t="s">
        <v>1141</v>
      </c>
      <c r="C73" s="921"/>
      <c r="D73" s="921"/>
      <c r="E73" s="921"/>
      <c r="F73" s="921"/>
      <c r="G73" s="921"/>
      <c r="H73" s="921"/>
      <c r="U73" s="1"/>
    </row>
  </sheetData>
  <autoFilter ref="F19:F64" xr:uid="{6280F9FC-ADE7-49F6-9E0A-6527CAEE96BA}"/>
  <mergeCells count="22">
    <mergeCell ref="B15:H15"/>
    <mergeCell ref="B16:H17"/>
    <mergeCell ref="B8:C8"/>
    <mergeCell ref="F8:G8"/>
    <mergeCell ref="F9:G9"/>
    <mergeCell ref="F10:G10"/>
    <mergeCell ref="F11:G11"/>
    <mergeCell ref="B61:D64"/>
    <mergeCell ref="B66:H67"/>
    <mergeCell ref="B73:H73"/>
    <mergeCell ref="B29:E38"/>
    <mergeCell ref="F63:G63"/>
    <mergeCell ref="F64:G64"/>
    <mergeCell ref="F58:G58"/>
    <mergeCell ref="F59:G59"/>
    <mergeCell ref="F60:G60"/>
    <mergeCell ref="F61:G61"/>
    <mergeCell ref="B39:E39"/>
    <mergeCell ref="F62:G62"/>
    <mergeCell ref="C71:D71"/>
    <mergeCell ref="B41:C41"/>
    <mergeCell ref="B53:E53"/>
  </mergeCells>
  <conditionalFormatting sqref="H59">
    <cfRule type="cellIs" dxfId="19" priority="6" operator="greaterThan">
      <formula>1</formula>
    </cfRule>
  </conditionalFormatting>
  <conditionalFormatting sqref="H60">
    <cfRule type="notContainsBlanks" dxfId="18" priority="5">
      <formula>LEN(TRIM(H60))&gt;0</formula>
    </cfRule>
  </conditionalFormatting>
  <conditionalFormatting sqref="F60:G60">
    <cfRule type="notContainsBlanks" dxfId="17" priority="4">
      <formula>LEN(TRIM(F60))&gt;0</formula>
    </cfRule>
  </conditionalFormatting>
  <conditionalFormatting sqref="F59">
    <cfRule type="expression" dxfId="16" priority="3">
      <formula>$H$59&gt;1</formula>
    </cfRule>
  </conditionalFormatting>
  <conditionalFormatting sqref="F8:G8">
    <cfRule type="containsText" dxfId="15" priority="2" operator="containsText" text="INVOICE">
      <formula>NOT(ISERROR(SEARCH("INVOICE",F8)))</formula>
    </cfRule>
  </conditionalFormatting>
  <printOptions horizontalCentered="1"/>
  <pageMargins left="0.25" right="0.25" top="0.75" bottom="0.75" header="0.3" footer="0.3"/>
  <pageSetup scale="60"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FFAE-B57C-4FAA-B78D-86D953B6CD3C}">
  <sheetPr codeName="Sheet18">
    <tabColor rgb="FF00B0F0"/>
    <pageSetUpPr fitToPage="1"/>
  </sheetPr>
  <dimension ref="B1:U68"/>
  <sheetViews>
    <sheetView showZeros="0" topLeftCell="A39" zoomScale="90" zoomScaleNormal="90" workbookViewId="0">
      <selection activeCell="P67" sqref="P67"/>
    </sheetView>
  </sheetViews>
  <sheetFormatPr defaultRowHeight="15" customHeight="1"/>
  <cols>
    <col min="1" max="1" width="5.42578125" customWidth="1"/>
    <col min="2" max="2" width="70.5703125" customWidth="1"/>
    <col min="4" max="4" width="15.5703125" bestFit="1" customWidth="1"/>
    <col min="5" max="5" width="10.140625" customWidth="1"/>
    <col min="6" max="6" width="10" style="141" bestFit="1" customWidth="1"/>
    <col min="7" max="7" width="19.140625" bestFit="1" customWidth="1"/>
    <col min="8" max="8" width="12.42578125" bestFit="1" customWidth="1"/>
    <col min="10" max="10" width="18.5703125" bestFit="1" customWidth="1"/>
    <col min="11" max="11" width="17.42578125" bestFit="1" customWidth="1"/>
  </cols>
  <sheetData>
    <row r="1" spans="2:12" ht="21">
      <c r="B1" s="12" t="s">
        <v>938</v>
      </c>
      <c r="C1" s="10"/>
      <c r="D1" s="10"/>
      <c r="E1" s="9"/>
      <c r="F1" s="154"/>
      <c r="G1" s="18"/>
      <c r="H1" s="19"/>
      <c r="J1" s="485"/>
      <c r="K1" s="485"/>
    </row>
    <row r="2" spans="2:12">
      <c r="B2" s="23" t="s">
        <v>940</v>
      </c>
      <c r="C2" s="23"/>
      <c r="D2" s="16"/>
      <c r="E2" s="23"/>
      <c r="F2" s="155"/>
      <c r="G2" s="15"/>
      <c r="H2" s="15"/>
      <c r="J2" s="489" t="s">
        <v>939</v>
      </c>
      <c r="K2" s="490" t="str">
        <f ca="1">B10&amp;" - Summit Soar - PSFv73 - "&amp;TEXT(H9,"MMDDYYYY")</f>
        <v>Soar Autism Center - South Fort Collins - Summit Soar - PSFv73 - 07222026</v>
      </c>
    </row>
    <row r="3" spans="2:12">
      <c r="B3" s="23" t="s">
        <v>942</v>
      </c>
      <c r="C3" s="23"/>
      <c r="D3" s="16"/>
      <c r="E3" s="23"/>
      <c r="F3" s="156"/>
      <c r="G3" s="15"/>
      <c r="H3" s="15"/>
      <c r="J3" s="489" t="s">
        <v>941</v>
      </c>
      <c r="K3" s="490" t="str">
        <f ca="1">B10&amp;" - Summit Soar - Proposal "&amp;F9&amp;" - "&amp;TEXT(H9,"MMDDYYYY")</f>
        <v>Soar Autism Center - South Fort Collins - Summit Soar - Proposal SOAR-SS-260722-001 - 07222026</v>
      </c>
    </row>
    <row r="4" spans="2:12">
      <c r="B4" s="23" t="s">
        <v>943</v>
      </c>
      <c r="C4" s="24"/>
      <c r="D4" s="16"/>
      <c r="E4" s="23"/>
    </row>
    <row r="5" spans="2:12">
      <c r="B5" s="16" t="s">
        <v>944</v>
      </c>
      <c r="C5" s="16"/>
      <c r="D5" s="16"/>
      <c r="E5" s="23"/>
    </row>
    <row r="6" spans="2:12">
      <c r="B6" t="s">
        <v>945</v>
      </c>
      <c r="C6" s="23"/>
      <c r="D6" s="16"/>
      <c r="E6" s="23"/>
    </row>
    <row r="7" spans="2:12">
      <c r="B7" s="16"/>
      <c r="C7" s="16"/>
      <c r="D7" s="16"/>
      <c r="E7" s="23"/>
    </row>
    <row r="8" spans="2:12">
      <c r="B8" s="939" t="s">
        <v>946</v>
      </c>
      <c r="C8" s="940"/>
      <c r="D8" s="23"/>
      <c r="E8" s="15"/>
      <c r="F8" s="899" t="str">
        <f>IF(L11="Yes","INVOICE #","PROPOSAL #")</f>
        <v>PROPOSAL #</v>
      </c>
      <c r="G8" s="900"/>
      <c r="H8" s="42" t="s">
        <v>948</v>
      </c>
    </row>
    <row r="9" spans="2:12">
      <c r="B9" s="16" t="str">
        <f>Discovery!B2</f>
        <v>Tyler Galiotto</v>
      </c>
      <c r="C9" s="23"/>
      <c r="D9" s="23"/>
      <c r="E9" s="15"/>
      <c r="F9" s="941" t="str">
        <f ca="1">"SOAR-" &amp;
UPPER(LEFT(B10,1) &amp; RIGHT(B10,1)) &amp;
"-" &amp; TEXT(H9,"yymmdd") &amp;
"-" &amp;
TEXT(
   IF(AND(ISNUMBER(K11),K11&gt;0),
      K11,
      COUNTIFS($B$10:B10,B10,$H$9:H9,H9)
   ),
"000")</f>
        <v>SOAR-SS-260722-001</v>
      </c>
      <c r="G9" s="942"/>
      <c r="H9" s="43">
        <f ca="1">TODAY()</f>
        <v>46225</v>
      </c>
    </row>
    <row r="10" spans="2:12" ht="14.25" customHeight="1">
      <c r="B10" s="16" t="str">
        <f>Discovery!B3</f>
        <v>Soar Autism Center - South Fort Collins</v>
      </c>
      <c r="C10" s="23"/>
      <c r="D10" s="23"/>
      <c r="E10" s="15"/>
      <c r="F10" s="839" t="s">
        <v>949</v>
      </c>
      <c r="G10" s="901"/>
      <c r="H10" s="44" t="s">
        <v>950</v>
      </c>
    </row>
    <row r="11" spans="2:12">
      <c r="B11" s="16" t="str">
        <f>Discovery!B4</f>
        <v>3801 Automation Way</v>
      </c>
      <c r="C11" s="23"/>
      <c r="D11" s="23"/>
      <c r="E11" s="15"/>
      <c r="F11" s="902" t="str">
        <f>"SSG-"&amp;Discovery!B13</f>
        <v>SSG-12552093278</v>
      </c>
      <c r="G11" s="903"/>
      <c r="H11" s="45">
        <f ca="1">H9+7</f>
        <v>46232</v>
      </c>
      <c r="J11" s="520" t="s">
        <v>951</v>
      </c>
      <c r="K11" s="53">
        <v>0</v>
      </c>
      <c r="L11" s="48"/>
    </row>
    <row r="12" spans="2:12">
      <c r="B12" s="16" t="str">
        <f>Discovery!B5&amp;" "&amp;Discovery!B6</f>
        <v>Fort Collins, CO 80525</v>
      </c>
      <c r="C12" s="23"/>
      <c r="D12" s="23"/>
      <c r="E12" s="15"/>
      <c r="F12" s="156"/>
      <c r="G12" s="15"/>
      <c r="H12" s="15"/>
    </row>
    <row r="13" spans="2:12">
      <c r="B13" s="16">
        <f>ZAPIER!J2</f>
        <v>5203895979</v>
      </c>
      <c r="C13" s="23"/>
      <c r="D13" s="23"/>
      <c r="E13" s="15"/>
      <c r="F13" s="156"/>
      <c r="G13" s="15"/>
      <c r="H13" s="15"/>
    </row>
    <row r="14" spans="2:12">
      <c r="B14" s="16"/>
      <c r="C14" s="16"/>
      <c r="D14" s="16"/>
      <c r="E14" s="16"/>
      <c r="F14" s="156"/>
      <c r="G14" s="15"/>
      <c r="H14" s="15"/>
    </row>
    <row r="15" spans="2:12" ht="15.75">
      <c r="B15" s="896" t="s">
        <v>1175</v>
      </c>
      <c r="C15" s="897"/>
      <c r="D15" s="897"/>
      <c r="E15" s="897"/>
      <c r="F15" s="897"/>
      <c r="G15" s="897"/>
      <c r="H15" s="898"/>
    </row>
    <row r="16" spans="2:12" ht="18.75" customHeight="1">
      <c r="B16" s="933" t="s">
        <v>1176</v>
      </c>
      <c r="C16" s="934"/>
      <c r="D16" s="934"/>
      <c r="E16" s="934"/>
      <c r="F16" s="934"/>
      <c r="G16" s="934"/>
      <c r="H16" s="935"/>
    </row>
    <row r="17" spans="2:8" ht="15" customHeight="1">
      <c r="B17" s="936"/>
      <c r="C17" s="937"/>
      <c r="D17" s="937"/>
      <c r="E17" s="937"/>
      <c r="F17" s="937"/>
      <c r="G17" s="937"/>
      <c r="H17" s="938"/>
    </row>
    <row r="18" spans="2:8" ht="15" customHeight="1">
      <c r="B18" s="23"/>
      <c r="C18" s="23"/>
      <c r="D18" s="23"/>
      <c r="E18" s="16"/>
      <c r="F18" s="155"/>
      <c r="G18" s="16"/>
      <c r="H18" s="16"/>
    </row>
    <row r="19" spans="2:8">
      <c r="B19" s="26" t="s">
        <v>175</v>
      </c>
      <c r="C19" s="27"/>
      <c r="D19" s="27" t="s">
        <v>955</v>
      </c>
      <c r="E19" s="28"/>
      <c r="F19" s="157" t="s">
        <v>957</v>
      </c>
      <c r="G19" s="20" t="s">
        <v>974</v>
      </c>
      <c r="H19" s="21" t="s">
        <v>975</v>
      </c>
    </row>
    <row r="20" spans="2:8">
      <c r="B20" s="33" t="s">
        <v>1125</v>
      </c>
      <c r="C20" s="29"/>
      <c r="D20" s="29"/>
      <c r="E20" s="200"/>
      <c r="F20" s="201" t="s">
        <v>976</v>
      </c>
      <c r="G20" s="202"/>
      <c r="H20" s="203"/>
    </row>
    <row r="21" spans="2:8">
      <c r="B21" s="163" t="str">
        <f>IFERROR(VLOOKUP(D21,Calcs!B:D,3,FALSE),"")</f>
        <v/>
      </c>
      <c r="C21" s="23"/>
      <c r="D21" t="s">
        <v>857</v>
      </c>
      <c r="E21" s="23"/>
      <c r="F21" s="581" t="str">
        <f>IFERROR(VLOOKUP(D21,Calcs!$B$312:$E$328,4,FALSE),"")</f>
        <v/>
      </c>
      <c r="G21" s="322"/>
      <c r="H21" s="416"/>
    </row>
    <row r="22" spans="2:8" ht="15" customHeight="1">
      <c r="B22" s="163" t="str">
        <f>IFERROR(VLOOKUP(D22,Calcs!B:D,3,FALSE),"")</f>
        <v/>
      </c>
      <c r="C22" s="23"/>
      <c r="D22" t="s">
        <v>860</v>
      </c>
      <c r="E22" s="23"/>
      <c r="F22" s="581" t="str">
        <f>IFERROR(VLOOKUP(D22,Calcs!$B$312:$E$328,4,FALSE),"")</f>
        <v/>
      </c>
      <c r="G22" s="322"/>
      <c r="H22" s="416"/>
    </row>
    <row r="23" spans="2:8">
      <c r="B23" s="163" t="str">
        <f>IFERROR(VLOOKUP(D23,Calcs!B:D,3,FALSE),"")</f>
        <v/>
      </c>
      <c r="C23" s="23"/>
      <c r="D23" s="53">
        <v>303805</v>
      </c>
      <c r="E23" s="23"/>
      <c r="F23" s="581" t="str">
        <f>IFERROR(VLOOKUP(D23,Calcs!$B$312:$E$328,4,FALSE),"")</f>
        <v/>
      </c>
      <c r="G23" s="322"/>
      <c r="H23" s="416"/>
    </row>
    <row r="24" spans="2:8">
      <c r="B24" s="163" t="str">
        <f>IFERROR(VLOOKUP(D24,Calcs!B:D,3,FALSE),"")</f>
        <v/>
      </c>
      <c r="C24" s="23"/>
      <c r="D24" t="s">
        <v>531</v>
      </c>
      <c r="E24" s="23"/>
      <c r="F24" s="581" t="str">
        <f>IFERROR(VLOOKUP(D24,Calcs!$B$312:$E$328,4,FALSE),"")</f>
        <v/>
      </c>
      <c r="G24" s="322"/>
      <c r="H24" s="416"/>
    </row>
    <row r="25" spans="2:8">
      <c r="B25" s="163" t="str">
        <f>IFERROR(VLOOKUP(D25,Calcs!B:D,3,FALSE),"")</f>
        <v/>
      </c>
      <c r="C25" s="171"/>
      <c r="D25" s="320"/>
      <c r="E25" s="171"/>
      <c r="F25" s="581" t="str">
        <f>IFERROR(VLOOKUP(D25,Calcs!$B$312:$E$328,4,FALSE),"")</f>
        <v/>
      </c>
      <c r="G25" s="322" t="str">
        <f>IFERROR(VLOOKUP(D25,Calcs!B:Z,11,FALSE),"")</f>
        <v/>
      </c>
      <c r="H25" s="416"/>
    </row>
    <row r="26" spans="2:8">
      <c r="B26" s="163" t="str">
        <f>IFERROR(VLOOKUP(D26,Calcs!B:D,3,FALSE),"")</f>
        <v/>
      </c>
      <c r="C26" s="171"/>
      <c r="D26" s="320"/>
      <c r="E26" s="171"/>
      <c r="F26" s="581" t="str">
        <f>IFERROR(VLOOKUP(D26,Calcs!$B$312:$E$328,4,FALSE),"")</f>
        <v/>
      </c>
      <c r="G26" s="322" t="str">
        <f>IFERROR(VLOOKUP(D26,Calcs!B:Z,11,FALSE),"")</f>
        <v/>
      </c>
      <c r="H26" s="416"/>
    </row>
    <row r="27" spans="2:8">
      <c r="B27" s="163" t="str">
        <f>IFERROR(VLOOKUP(D27,Calcs!B:D,3,FALSE),"")</f>
        <v/>
      </c>
      <c r="C27" s="171"/>
      <c r="D27" s="320"/>
      <c r="E27" s="171"/>
      <c r="F27" s="577" t="str">
        <f>IFERROR(VLOOKUP(D27,Calcs!$B$312:$E$328,4,FALSE),"")</f>
        <v/>
      </c>
      <c r="G27" s="198" t="str">
        <f>IFERROR(VLOOKUP(D27,Calcs!B:Z,11,FALSE),"")</f>
        <v/>
      </c>
      <c r="H27" s="416"/>
    </row>
    <row r="28" spans="2:8">
      <c r="B28" s="163" t="str">
        <f>IFERROR(VLOOKUP(D28,Calcs!B:D,3,FALSE),"")</f>
        <v/>
      </c>
      <c r="C28" s="171"/>
      <c r="D28" s="171"/>
      <c r="E28" s="171"/>
      <c r="F28" s="577" t="str">
        <f>IFERROR(VLOOKUP(D28,Calcs!$B$312:$E$328,4,FALSE),"")</f>
        <v/>
      </c>
      <c r="G28" s="570"/>
      <c r="H28" s="416"/>
    </row>
    <row r="29" spans="2:8">
      <c r="B29" s="163" t="str">
        <f>IFERROR(VLOOKUP(D29,Calcs!B:D,3,FALSE),"")</f>
        <v/>
      </c>
      <c r="C29" s="618"/>
      <c r="D29" s="618"/>
      <c r="E29" s="618"/>
      <c r="F29" s="577" t="str">
        <f>IFERROR(VLOOKUP(D29,Calcs!$B$312:$E$328,4,FALSE),"")</f>
        <v/>
      </c>
      <c r="G29" s="570"/>
      <c r="H29" s="416"/>
    </row>
    <row r="30" spans="2:8">
      <c r="B30" s="163" t="str">
        <f>IFERROR(VLOOKUP(D30,Calcs!B:D,3,FALSE),"")</f>
        <v/>
      </c>
      <c r="C30" s="618"/>
      <c r="D30" s="618"/>
      <c r="E30" s="618"/>
      <c r="F30" s="577" t="str">
        <f>IFERROR(VLOOKUP(D30,Calcs!$B$312:$E$328,4,FALSE),"")</f>
        <v/>
      </c>
      <c r="G30" s="571"/>
      <c r="H30" s="572"/>
    </row>
    <row r="31" spans="2:8" ht="26.25" customHeight="1">
      <c r="B31" s="163" t="str">
        <f>IFERROR(VLOOKUP(D31,Calcs!B:D,3,FALSE),"")</f>
        <v/>
      </c>
      <c r="C31" s="618"/>
      <c r="D31" s="618"/>
      <c r="E31" s="618"/>
      <c r="F31" s="577" t="str">
        <f>IFERROR(VLOOKUP(D31,Calcs!$B$312:$E$328,4,FALSE),"")</f>
        <v/>
      </c>
      <c r="G31" s="198"/>
      <c r="H31" s="208"/>
    </row>
    <row r="32" spans="2:8">
      <c r="B32" s="163" t="str">
        <f>IFERROR(VLOOKUP(D32,Calcs!B:D,3,FALSE),"")</f>
        <v/>
      </c>
      <c r="C32" s="618"/>
      <c r="D32" s="618"/>
      <c r="E32" s="618"/>
      <c r="F32" s="577" t="str">
        <f>IFERROR(VLOOKUP(D32,Calcs!$B$312:$E$328,4,FALSE),"")</f>
        <v/>
      </c>
      <c r="G32" s="570"/>
      <c r="H32" s="416"/>
    </row>
    <row r="33" spans="2:8">
      <c r="B33" s="163" t="str">
        <f>IFERROR(VLOOKUP(D33,Calcs!B:D,3,FALSE),"")</f>
        <v/>
      </c>
      <c r="C33" s="618"/>
      <c r="D33" s="618"/>
      <c r="E33" s="618"/>
      <c r="F33" s="577" t="str">
        <f>IFERROR(VLOOKUP(D33,Calcs!$B$312:$E$328,4,FALSE),"")</f>
        <v/>
      </c>
      <c r="G33" s="198"/>
      <c r="H33" s="208"/>
    </row>
    <row r="34" spans="2:8">
      <c r="B34" s="163" t="str">
        <f>IFERROR(VLOOKUP(D34,Calcs!B:D,3,FALSE),"")</f>
        <v/>
      </c>
      <c r="C34" s="618"/>
      <c r="D34" s="618"/>
      <c r="E34" s="618"/>
      <c r="F34" s="577" t="str">
        <f>IFERROR(VLOOKUP(D34,Calcs!$B$312:$E$328,4,FALSE),"")</f>
        <v/>
      </c>
      <c r="G34" s="198"/>
      <c r="H34" s="208"/>
    </row>
    <row r="35" spans="2:8">
      <c r="B35" s="163" t="str">
        <f>IFERROR(VLOOKUP(D35,Calcs!B:D,3,FALSE),"")</f>
        <v/>
      </c>
      <c r="C35" s="618"/>
      <c r="D35" s="618"/>
      <c r="E35" s="618"/>
      <c r="F35" s="577" t="str">
        <f>IFERROR(VLOOKUP(D35,Calcs!$B$312:$E$328,4,FALSE),"")</f>
        <v/>
      </c>
      <c r="G35" s="198"/>
      <c r="H35" s="208"/>
    </row>
    <row r="36" spans="2:8">
      <c r="B36" s="163" t="str">
        <f>IFERROR(VLOOKUP(D36,Calcs!B:D,3,FALSE),"")</f>
        <v/>
      </c>
      <c r="C36" s="618"/>
      <c r="D36" s="619" t="s">
        <v>864</v>
      </c>
      <c r="E36" s="618"/>
      <c r="F36" s="577" t="str">
        <f>IFERROR(VLOOKUP(D36,Calcs!$B$312:$E$328,4,FALSE),"")</f>
        <v/>
      </c>
      <c r="G36" s="198"/>
      <c r="H36" s="208"/>
    </row>
    <row r="37" spans="2:8">
      <c r="B37" s="163" t="str">
        <f>IFERROR(VLOOKUP(D37,Calcs!B:D,3,FALSE),"")</f>
        <v/>
      </c>
      <c r="C37" s="618"/>
      <c r="D37" s="618"/>
      <c r="E37" s="618"/>
      <c r="F37" s="577" t="str">
        <f>IFERROR(VLOOKUP(D37,Calcs!$B$312:$E$328,4,FALSE),"")</f>
        <v/>
      </c>
      <c r="G37" s="199"/>
      <c r="H37" s="209"/>
    </row>
    <row r="38" spans="2:8">
      <c r="B38" s="163" t="str">
        <f>IFERROR(VLOOKUP(D38,Calcs!B:D,3,FALSE),"")</f>
        <v/>
      </c>
      <c r="C38" s="618"/>
      <c r="D38" s="618"/>
      <c r="E38" s="618"/>
      <c r="F38" s="577" t="str">
        <f>IFERROR(VLOOKUP(D38,Calcs!$B$312:$E$328,4,FALSE),"")</f>
        <v/>
      </c>
      <c r="G38" s="570"/>
      <c r="H38" s="416"/>
    </row>
    <row r="39" spans="2:8">
      <c r="B39" s="929" t="s">
        <v>405</v>
      </c>
      <c r="C39" s="930"/>
      <c r="D39" s="930"/>
      <c r="E39" s="930"/>
      <c r="F39" s="578">
        <v>1</v>
      </c>
      <c r="G39" s="570"/>
      <c r="H39" s="572">
        <f>Calcs!J331</f>
        <v>0</v>
      </c>
    </row>
    <row r="40" spans="2:8">
      <c r="B40" s="183"/>
      <c r="C40" s="184"/>
      <c r="D40" s="184"/>
      <c r="E40" s="184"/>
      <c r="F40" s="579">
        <v>1</v>
      </c>
      <c r="G40" s="573"/>
      <c r="H40" s="416"/>
    </row>
    <row r="41" spans="2:8">
      <c r="B41" s="631" t="s">
        <v>1026</v>
      </c>
      <c r="C41" s="589"/>
      <c r="D41" s="590"/>
      <c r="E41" s="172"/>
      <c r="F41" s="580">
        <v>1</v>
      </c>
      <c r="G41" s="574"/>
      <c r="H41" s="575"/>
    </row>
    <row r="42" spans="2:8">
      <c r="B42" s="632" t="s">
        <v>981</v>
      </c>
      <c r="C42" s="282"/>
      <c r="D42" s="594"/>
      <c r="E42" s="284"/>
      <c r="F42" s="579" t="s">
        <v>981</v>
      </c>
      <c r="G42" s="573"/>
      <c r="H42" s="416"/>
    </row>
    <row r="43" spans="2:8">
      <c r="B43" s="633" t="s">
        <v>1028</v>
      </c>
      <c r="C43" s="282"/>
      <c r="D43" s="594"/>
      <c r="E43" s="284"/>
      <c r="F43" s="581" t="str">
        <f>IFERROR(VLOOKUP(D43,Calcs!$B$231:$F$247,5,FALSE),"")</f>
        <v/>
      </c>
      <c r="G43" s="322" t="str">
        <f>IFERROR(VLOOKUP(D43,Calcs!B233:Z247,12,FALSE),"")</f>
        <v/>
      </c>
      <c r="H43" s="576" t="str">
        <f>IFERROR(VLOOKUP(D43,Calcs!$B$231:$M$247,11,FALSE),"")</f>
        <v/>
      </c>
    </row>
    <row r="44" spans="2:8">
      <c r="B44" s="163" t="str">
        <f>IFERROR(VLOOKUP(D44,Calcs!B:D,3,FALSE),"")</f>
        <v/>
      </c>
      <c r="C44" s="282"/>
      <c r="D44" s="354" t="s">
        <v>636</v>
      </c>
      <c r="E44" s="284"/>
      <c r="F44" s="581" t="str">
        <f>IFERROR(VLOOKUP(D44,Calcs!$B$312:$E$328,4,FALSE),"")</f>
        <v/>
      </c>
      <c r="G44" s="322" t="str">
        <f>IFERROR(VLOOKUP(D44,Calcs!$B$312:$I$328,8,FALSE),"")</f>
        <v/>
      </c>
      <c r="H44" s="576" t="str">
        <f>IFERROR(VLOOKUP(D44,Calcs!$B$312:$M$347,9,FALSE),"")</f>
        <v/>
      </c>
    </row>
    <row r="45" spans="2:8">
      <c r="B45" s="595" t="s">
        <v>1029</v>
      </c>
      <c r="C45" s="282"/>
      <c r="D45" s="354"/>
      <c r="E45" s="284"/>
      <c r="F45" s="581" t="str">
        <f>IFERROR(VLOOKUP(D45,Calcs!$B$312:$E$328,4,FALSE),"")</f>
        <v/>
      </c>
      <c r="G45" s="322" t="str">
        <f>IFERROR(VLOOKUP(D45,Calcs!$B$312:$I$328,8,FALSE),"")</f>
        <v/>
      </c>
      <c r="H45" s="576" t="str">
        <f>IFERROR(VLOOKUP(D45,Calcs!$B$312:$M$347,9,FALSE),"")</f>
        <v/>
      </c>
    </row>
    <row r="46" spans="2:8">
      <c r="B46" s="163" t="str">
        <f>IFERROR(VLOOKUP(D46,Calcs!B:D,3,FALSE),"")</f>
        <v/>
      </c>
      <c r="C46" s="159"/>
      <c r="D46" s="74" t="s">
        <v>638</v>
      </c>
      <c r="E46" s="284"/>
      <c r="F46" s="581" t="str">
        <f>IFERROR(VLOOKUP(D46,Calcs!$B$312:$E$328,4,FALSE),"")</f>
        <v/>
      </c>
      <c r="G46" s="322" t="str">
        <f>IFERROR(VLOOKUP(D46,Calcs!$B$312:$I$328,8,FALSE),"")</f>
        <v/>
      </c>
      <c r="H46" s="576" t="str">
        <f>IFERROR(VLOOKUP(D46,Calcs!$B$312:$M$347,9,FALSE),"")</f>
        <v/>
      </c>
    </row>
    <row r="47" spans="2:8">
      <c r="B47" s="943" t="s">
        <v>405</v>
      </c>
      <c r="C47" s="944"/>
      <c r="D47" s="944"/>
      <c r="E47" s="944"/>
      <c r="F47" s="582" t="s">
        <v>978</v>
      </c>
      <c r="G47" s="323"/>
      <c r="H47" s="209">
        <f>SUM(H43:H46)</f>
        <v>0</v>
      </c>
    </row>
    <row r="48" spans="2:8">
      <c r="B48" s="37"/>
      <c r="C48" s="23"/>
      <c r="D48" s="23"/>
      <c r="E48" s="23"/>
      <c r="F48" s="579" t="s">
        <v>979</v>
      </c>
      <c r="G48" s="322"/>
      <c r="H48" s="208"/>
    </row>
    <row r="49" spans="2:8">
      <c r="B49" s="162"/>
      <c r="C49" s="40"/>
      <c r="D49" s="211"/>
      <c r="E49" s="212"/>
      <c r="F49" s="928" t="s">
        <v>960</v>
      </c>
      <c r="G49" s="910"/>
      <c r="H49" s="179">
        <f>H39+H47</f>
        <v>0</v>
      </c>
    </row>
    <row r="50" spans="2:8">
      <c r="B50" s="31"/>
      <c r="C50" s="31"/>
      <c r="D50" s="31"/>
      <c r="E50" s="31"/>
      <c r="F50" s="907" t="s">
        <v>1039</v>
      </c>
      <c r="G50" s="908"/>
      <c r="H50" s="261">
        <f>Calcs!Q243</f>
        <v>0</v>
      </c>
    </row>
    <row r="51" spans="2:8">
      <c r="B51" s="829" t="s">
        <v>1040</v>
      </c>
      <c r="C51" s="829"/>
      <c r="D51" s="829"/>
      <c r="E51" s="31"/>
      <c r="F51" s="909" t="str">
        <f>IFERROR(IF(Calcs!Q243&gt;0.01,"DISCOUNT EXPIRATION:",""),"")</f>
        <v/>
      </c>
      <c r="G51" s="910"/>
      <c r="H51" s="129" t="str">
        <f>IFERROR(IF(Calcs!Q243&gt;0.01,(H9+6),""),"")</f>
        <v/>
      </c>
    </row>
    <row r="52" spans="2:8">
      <c r="B52" s="829"/>
      <c r="C52" s="829"/>
      <c r="D52" s="829"/>
      <c r="E52" s="15"/>
      <c r="F52" s="909" t="s">
        <v>1041</v>
      </c>
      <c r="G52" s="910"/>
      <c r="H52" s="149" t="str">
        <f>IF(Discovery!B19="TBD","TBD",Discovery!B19+100)</f>
        <v>TBD</v>
      </c>
    </row>
    <row r="53" spans="2:8">
      <c r="B53" s="829"/>
      <c r="C53" s="829"/>
      <c r="D53" s="829"/>
      <c r="E53" s="15"/>
      <c r="F53" s="909" t="s">
        <v>1042</v>
      </c>
      <c r="G53" s="910"/>
      <c r="H53" s="149">
        <f>IF(Discovery!B24="TBD","TBD",Discovery!B24+50)</f>
        <v>909.14</v>
      </c>
    </row>
    <row r="54" spans="2:8">
      <c r="B54" s="829"/>
      <c r="C54" s="829"/>
      <c r="D54" s="829"/>
      <c r="E54" s="15"/>
      <c r="F54" s="909" t="s">
        <v>1140</v>
      </c>
      <c r="G54" s="910"/>
      <c r="H54" s="149">
        <f>IF(Discovery!B25="TBD","TBD",Discovery!B25)</f>
        <v>294.07</v>
      </c>
    </row>
    <row r="55" spans="2:8" ht="14.45" customHeight="1">
      <c r="B55" s="829"/>
      <c r="C55" s="829"/>
      <c r="D55" s="829"/>
      <c r="E55" s="15"/>
      <c r="F55" s="827" t="s">
        <v>962</v>
      </c>
      <c r="G55" s="828"/>
      <c r="H55" s="319">
        <f>H49-H50+(IF(H54="TBD",0,H54))+(IF(H52="TBD",0,H52))+(IF(H53="TBD",0,H53))</f>
        <v>1203.21</v>
      </c>
    </row>
    <row r="56" spans="2:8" ht="15" customHeight="1">
      <c r="B56" s="829"/>
      <c r="C56" s="829"/>
      <c r="D56" s="829"/>
      <c r="E56" s="15"/>
      <c r="F56" s="262"/>
      <c r="G56" s="262"/>
      <c r="H56" s="621"/>
    </row>
    <row r="57" spans="2:8" ht="15" customHeight="1">
      <c r="B57" s="829"/>
      <c r="C57" s="829"/>
      <c r="D57" s="829"/>
      <c r="E57" s="620"/>
      <c r="F57" s="866"/>
      <c r="G57" s="866"/>
      <c r="H57" s="264"/>
    </row>
    <row r="58" spans="2:8">
      <c r="B58" s="32"/>
      <c r="C58" s="32"/>
      <c r="D58" s="32"/>
      <c r="E58" s="32"/>
      <c r="F58" s="158"/>
      <c r="G58" s="32"/>
      <c r="H58" s="32"/>
    </row>
    <row r="59" spans="2:8">
      <c r="B59" s="161" t="s">
        <v>965</v>
      </c>
      <c r="C59" s="418"/>
      <c r="D59" s="418"/>
      <c r="E59" s="418"/>
      <c r="F59" s="332"/>
      <c r="G59" s="418"/>
      <c r="H59" s="418"/>
    </row>
    <row r="60" spans="2:8">
      <c r="B60" s="569"/>
      <c r="C60" s="945"/>
      <c r="D60" s="945"/>
      <c r="E60" s="945"/>
      <c r="F60" s="945"/>
      <c r="G60" s="945"/>
      <c r="H60" s="945"/>
    </row>
    <row r="61" spans="2:8">
      <c r="B61" s="419" t="s">
        <v>966</v>
      </c>
      <c r="C61" s="946" t="s">
        <v>967</v>
      </c>
      <c r="D61" s="947"/>
      <c r="E61" s="947"/>
      <c r="F61" s="947"/>
      <c r="G61" s="947" t="s">
        <v>968</v>
      </c>
      <c r="H61" s="947"/>
    </row>
    <row r="62" spans="2:8" ht="15" customHeight="1">
      <c r="B62" s="15"/>
      <c r="C62" s="15"/>
      <c r="D62" s="15"/>
      <c r="E62" s="15"/>
      <c r="F62" s="156"/>
      <c r="G62" s="15"/>
      <c r="H62" s="15"/>
    </row>
    <row r="63" spans="2:8">
      <c r="B63" s="921" t="s">
        <v>1141</v>
      </c>
      <c r="C63" s="921"/>
      <c r="D63" s="921"/>
      <c r="E63" s="921"/>
      <c r="F63" s="921"/>
      <c r="G63" s="921"/>
      <c r="H63" s="921"/>
    </row>
    <row r="64" spans="2:8" ht="38.25" customHeight="1"/>
    <row r="65" spans="21:21"/>
    <row r="66" spans="21:21"/>
    <row r="67" spans="21:21">
      <c r="U67" s="1"/>
    </row>
    <row r="68" spans="21:21"/>
  </sheetData>
  <autoFilter ref="F19:H57" xr:uid="{E937501A-BE74-4B69-AE33-1504B4F26655}"/>
  <mergeCells count="23">
    <mergeCell ref="C60:F60"/>
    <mergeCell ref="G60:H60"/>
    <mergeCell ref="C61:F61"/>
    <mergeCell ref="G61:H61"/>
    <mergeCell ref="B63:H63"/>
    <mergeCell ref="F50:G50"/>
    <mergeCell ref="B51:D57"/>
    <mergeCell ref="F51:G51"/>
    <mergeCell ref="F52:G52"/>
    <mergeCell ref="F53:G53"/>
    <mergeCell ref="F54:G54"/>
    <mergeCell ref="F55:G55"/>
    <mergeCell ref="F57:G57"/>
    <mergeCell ref="F49:G49"/>
    <mergeCell ref="B8:C8"/>
    <mergeCell ref="F8:G8"/>
    <mergeCell ref="F9:G9"/>
    <mergeCell ref="F10:G10"/>
    <mergeCell ref="F11:G11"/>
    <mergeCell ref="B15:H15"/>
    <mergeCell ref="B16:H17"/>
    <mergeCell ref="B39:E39"/>
    <mergeCell ref="B47:E47"/>
  </mergeCells>
  <conditionalFormatting sqref="H50">
    <cfRule type="cellIs" dxfId="14" priority="5" operator="greaterThan">
      <formula>1</formula>
    </cfRule>
  </conditionalFormatting>
  <conditionalFormatting sqref="H51">
    <cfRule type="notContainsBlanks" dxfId="13" priority="4">
      <formula>LEN(TRIM(H51))&gt;0</formula>
    </cfRule>
  </conditionalFormatting>
  <conditionalFormatting sqref="F51:G51">
    <cfRule type="notContainsBlanks" dxfId="12" priority="3">
      <formula>LEN(TRIM(F51))&gt;0</formula>
    </cfRule>
  </conditionalFormatting>
  <conditionalFormatting sqref="F50">
    <cfRule type="expression" dxfId="11" priority="2">
      <formula>$H$50&gt;1</formula>
    </cfRule>
  </conditionalFormatting>
  <conditionalFormatting sqref="F8:G8">
    <cfRule type="containsText" dxfId="10" priority="1" operator="containsText" text="INVOICE">
      <formula>NOT(ISERROR(SEARCH("INVOICE",F8)))</formula>
    </cfRule>
  </conditionalFormatting>
  <printOptions horizontalCentered="1"/>
  <pageMargins left="0.25" right="0.25" top="0.75" bottom="0.75" header="0.3" footer="0.3"/>
  <pageSetup scale="60" orientation="portrait" horizontalDpi="4294967293" verticalDpi="429496729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9907-ACD8-4A9D-BAA1-6453893D3D30}">
  <sheetPr codeName="Sheet3" filterMode="1">
    <tabColor rgb="FFFFC000"/>
  </sheetPr>
  <dimension ref="A1:I43"/>
  <sheetViews>
    <sheetView workbookViewId="0">
      <selection sqref="A1:E40"/>
    </sheetView>
  </sheetViews>
  <sheetFormatPr defaultColWidth="9.140625" defaultRowHeight="12.75"/>
  <cols>
    <col min="1" max="1" width="16" style="65" customWidth="1"/>
    <col min="2" max="2" width="33.140625" style="65" customWidth="1"/>
    <col min="3" max="3" width="8.42578125" style="65" customWidth="1"/>
    <col min="4" max="4" width="15.42578125" style="65" customWidth="1"/>
    <col min="5" max="5" width="16.28515625" style="65" customWidth="1"/>
    <col min="6" max="8" width="9.140625" style="65"/>
    <col min="9" max="9" width="9.7109375" style="65" bestFit="1" customWidth="1"/>
    <col min="10" max="16384" width="9.140625" style="65"/>
  </cols>
  <sheetData>
    <row r="1" spans="1:9" ht="86.1" customHeight="1">
      <c r="A1" s="63"/>
      <c r="B1" s="64"/>
      <c r="C1" s="64"/>
      <c r="D1" s="948" t="s">
        <v>1177</v>
      </c>
      <c r="E1" s="948"/>
    </row>
    <row r="2" spans="1:9" s="2" customFormat="1" ht="15.75">
      <c r="A2" s="66" t="s">
        <v>938</v>
      </c>
      <c r="C2" s="67"/>
      <c r="E2" s="68" t="s">
        <v>948</v>
      </c>
      <c r="H2" s="2" t="s">
        <v>1178</v>
      </c>
      <c r="I2" s="2" t="str">
        <f ca="1">A10&amp;" PO "&amp;E5</f>
        <v>Productive Tool Products PO 07222026-SSG80525</v>
      </c>
    </row>
    <row r="3" spans="1:9" s="2" customFormat="1" ht="15">
      <c r="A3" s="23" t="s">
        <v>940</v>
      </c>
      <c r="C3" s="67"/>
      <c r="E3" s="69">
        <f ca="1">TODAY()</f>
        <v>46225</v>
      </c>
    </row>
    <row r="4" spans="1:9" s="2" customFormat="1" ht="15">
      <c r="A4" s="23" t="s">
        <v>1179</v>
      </c>
      <c r="C4" s="67"/>
      <c r="E4" s="68" t="s">
        <v>1180</v>
      </c>
    </row>
    <row r="5" spans="1:9" s="2" customFormat="1" ht="15">
      <c r="A5" s="23" t="s">
        <v>943</v>
      </c>
      <c r="C5" s="67"/>
      <c r="E5" s="97" t="str">
        <f ca="1">CONCATENATE(TEXT(TODAY(),"mmddyyyy")&amp;"-SSG"&amp;Discovery!B6)</f>
        <v>07222026-SSG80525</v>
      </c>
      <c r="F5" s="70"/>
    </row>
    <row r="6" spans="1:9" s="2" customFormat="1" ht="15">
      <c r="A6" s="16" t="s">
        <v>944</v>
      </c>
      <c r="C6" s="67"/>
      <c r="E6" s="68" t="s">
        <v>1181</v>
      </c>
    </row>
    <row r="7" spans="1:9" s="2" customFormat="1" ht="15">
      <c r="A7" s="774" t="s">
        <v>945</v>
      </c>
      <c r="C7" s="67"/>
      <c r="E7" s="70" t="str">
        <f>"SSG"&amp;Discovery!B6</f>
        <v>SSG80525</v>
      </c>
    </row>
    <row r="8" spans="1:9" s="2" customFormat="1" ht="15">
      <c r="A8" s="67"/>
      <c r="B8" s="67"/>
      <c r="C8" s="67"/>
      <c r="D8" s="67"/>
      <c r="E8" s="67"/>
    </row>
    <row r="9" spans="1:9" s="2" customFormat="1" ht="15">
      <c r="A9" s="71" t="s">
        <v>1182</v>
      </c>
      <c r="B9" s="72"/>
      <c r="C9" s="72"/>
      <c r="D9" s="71" t="s">
        <v>1183</v>
      </c>
      <c r="E9" s="72"/>
    </row>
    <row r="10" spans="1:9" s="75" customFormat="1" ht="15">
      <c r="A10" s="73" t="s">
        <v>1184</v>
      </c>
      <c r="B10" s="74"/>
      <c r="D10" s="73" t="s">
        <v>1185</v>
      </c>
      <c r="E10" s="74"/>
      <c r="G10" s="70"/>
      <c r="I10" s="98"/>
    </row>
    <row r="11" spans="1:9" s="75" customFormat="1" ht="15">
      <c r="A11" s="73" t="s">
        <v>1186</v>
      </c>
      <c r="B11" s="74"/>
      <c r="D11" s="73" t="s">
        <v>1187</v>
      </c>
      <c r="E11" s="74"/>
    </row>
    <row r="12" spans="1:9" s="75" customFormat="1" ht="15">
      <c r="A12" s="73" t="s">
        <v>1188</v>
      </c>
      <c r="B12" s="74"/>
      <c r="D12" s="73" t="str">
        <f>"Order: "&amp;"Inventory 6/16"</f>
        <v>Order: Inventory 6/16</v>
      </c>
      <c r="E12" s="74"/>
      <c r="I12" s="98"/>
    </row>
    <row r="13" spans="1:9" s="75" customFormat="1" ht="15">
      <c r="A13" s="73" t="s">
        <v>1189</v>
      </c>
      <c r="B13" s="74"/>
      <c r="D13" s="73" t="s">
        <v>1190</v>
      </c>
      <c r="E13" s="74"/>
    </row>
    <row r="14" spans="1:9" s="75" customFormat="1" ht="15">
      <c r="A14" s="73" t="s">
        <v>1191</v>
      </c>
      <c r="B14" s="74"/>
      <c r="D14" s="73" t="s">
        <v>1192</v>
      </c>
      <c r="E14" s="74"/>
    </row>
    <row r="15" spans="1:9" s="75" customFormat="1" ht="15">
      <c r="A15" s="73"/>
      <c r="B15" s="74"/>
      <c r="C15" s="67"/>
      <c r="D15" s="73" t="s">
        <v>1193</v>
      </c>
      <c r="E15" s="74"/>
    </row>
    <row r="16" spans="1:9" s="75" customFormat="1" ht="15">
      <c r="A16" s="73"/>
      <c r="B16" s="73"/>
      <c r="C16" s="73"/>
      <c r="D16" s="73"/>
      <c r="E16" s="73"/>
    </row>
    <row r="17" spans="1:5" s="2" customFormat="1" ht="15">
      <c r="A17" s="76" t="s">
        <v>1194</v>
      </c>
      <c r="B17" s="76" t="s">
        <v>1195</v>
      </c>
      <c r="C17" s="76" t="s">
        <v>1196</v>
      </c>
      <c r="D17" s="76" t="s">
        <v>1197</v>
      </c>
      <c r="E17" s="76" t="s">
        <v>1198</v>
      </c>
    </row>
    <row r="18" spans="1:5" s="2" customFormat="1" ht="15">
      <c r="A18" s="340" t="s">
        <v>1199</v>
      </c>
      <c r="B18" s="77"/>
      <c r="C18" s="77"/>
      <c r="D18" s="77"/>
      <c r="E18" s="78"/>
    </row>
    <row r="19" spans="1:5" s="2" customFormat="1" ht="15">
      <c r="A19" s="67"/>
      <c r="B19" s="67"/>
      <c r="C19" s="67"/>
      <c r="D19" s="67"/>
      <c r="E19" s="67"/>
    </row>
    <row r="20" spans="1:5" s="2" customFormat="1" ht="15">
      <c r="A20" s="79" t="s">
        <v>1200</v>
      </c>
      <c r="B20" s="79" t="s">
        <v>175</v>
      </c>
      <c r="C20" s="79" t="s">
        <v>957</v>
      </c>
      <c r="D20" s="79" t="s">
        <v>1201</v>
      </c>
      <c r="E20" s="79" t="s">
        <v>172</v>
      </c>
    </row>
    <row r="21" spans="1:5" s="2" customFormat="1" ht="45">
      <c r="A21" s="80" t="s">
        <v>259</v>
      </c>
      <c r="B21" s="81" t="s">
        <v>1202</v>
      </c>
      <c r="C21" s="82">
        <v>14</v>
      </c>
      <c r="D21" s="83">
        <f>lists!M39</f>
        <v>193.16</v>
      </c>
      <c r="E21" s="83">
        <f t="shared" ref="E21:E29" si="0">C21*D21</f>
        <v>2704.24</v>
      </c>
    </row>
    <row r="22" spans="1:5" s="2" customFormat="1" ht="15" hidden="1">
      <c r="A22" s="80"/>
      <c r="B22" s="81"/>
      <c r="C22" s="90"/>
      <c r="D22" s="83"/>
      <c r="E22" s="83"/>
    </row>
    <row r="23" spans="1:5" s="2" customFormat="1" ht="45" hidden="1">
      <c r="A23" s="80" t="s">
        <v>265</v>
      </c>
      <c r="B23" s="81" t="s">
        <v>1203</v>
      </c>
      <c r="C23" s="82">
        <v>0</v>
      </c>
      <c r="D23" s="83">
        <f>lists!M41</f>
        <v>151.19999999999999</v>
      </c>
      <c r="E23" s="83">
        <f>C23*D23</f>
        <v>0</v>
      </c>
    </row>
    <row r="24" spans="1:5" s="2" customFormat="1" ht="15">
      <c r="A24" s="80"/>
      <c r="B24" s="81"/>
      <c r="C24" s="90" t="s">
        <v>1204</v>
      </c>
      <c r="D24" s="83"/>
      <c r="E24" s="83"/>
    </row>
    <row r="25" spans="1:5" s="2" customFormat="1" ht="15">
      <c r="A25" s="80" t="s">
        <v>274</v>
      </c>
      <c r="B25" s="80" t="s">
        <v>1205</v>
      </c>
      <c r="C25" s="82">
        <v>14</v>
      </c>
      <c r="D25" s="83">
        <f>lists!M42</f>
        <v>93.49</v>
      </c>
      <c r="E25" s="84">
        <f t="shared" si="0"/>
        <v>1308.8599999999999</v>
      </c>
    </row>
    <row r="26" spans="1:5" s="2" customFormat="1" ht="15">
      <c r="A26" s="80"/>
      <c r="B26" s="80"/>
      <c r="C26" s="90" t="s">
        <v>1204</v>
      </c>
      <c r="D26" s="83"/>
      <c r="E26" s="84"/>
    </row>
    <row r="27" spans="1:5" s="2" customFormat="1" ht="15">
      <c r="A27" s="80" t="s">
        <v>272</v>
      </c>
      <c r="B27" s="80" t="s">
        <v>1206</v>
      </c>
      <c r="C27" s="82">
        <v>28</v>
      </c>
      <c r="D27" s="83">
        <f>lists!M43</f>
        <v>46.75</v>
      </c>
      <c r="E27" s="84">
        <f t="shared" si="0"/>
        <v>1309</v>
      </c>
    </row>
    <row r="28" spans="1:5" s="2" customFormat="1" ht="15">
      <c r="A28" s="80"/>
      <c r="B28" s="80"/>
      <c r="C28" s="90" t="s">
        <v>1204</v>
      </c>
      <c r="D28" s="83"/>
      <c r="E28" s="84"/>
    </row>
    <row r="29" spans="1:5" s="2" customFormat="1" ht="15">
      <c r="A29" s="80" t="s">
        <v>269</v>
      </c>
      <c r="B29" s="80" t="s">
        <v>270</v>
      </c>
      <c r="C29" s="82">
        <v>42</v>
      </c>
      <c r="D29" s="83">
        <f>lists!M44</f>
        <v>99.66</v>
      </c>
      <c r="E29" s="84">
        <f t="shared" si="0"/>
        <v>4185.72</v>
      </c>
    </row>
    <row r="30" spans="1:5" s="2" customFormat="1" ht="12" customHeight="1">
      <c r="A30" s="67"/>
      <c r="B30" s="67"/>
      <c r="C30" s="91" t="s">
        <v>1204</v>
      </c>
      <c r="D30" s="96"/>
      <c r="E30" s="96"/>
    </row>
    <row r="31" spans="1:5" s="2" customFormat="1" ht="10.5" customHeight="1">
      <c r="A31" s="67"/>
      <c r="B31" s="67"/>
      <c r="C31" s="91" t="s">
        <v>1204</v>
      </c>
      <c r="D31" s="96"/>
      <c r="E31" s="96"/>
    </row>
    <row r="32" spans="1:5" s="2" customFormat="1" ht="15">
      <c r="A32" s="2" t="s">
        <v>1207</v>
      </c>
      <c r="C32" s="91" t="s">
        <v>1204</v>
      </c>
      <c r="D32" s="85" t="s">
        <v>405</v>
      </c>
      <c r="E32" s="95">
        <f>SUM(E21:E31)</f>
        <v>9507.82</v>
      </c>
    </row>
    <row r="33" spans="1:5" s="2" customFormat="1" ht="15">
      <c r="A33" s="949"/>
      <c r="B33" s="949"/>
      <c r="C33" s="91" t="s">
        <v>1204</v>
      </c>
      <c r="D33" s="85" t="s">
        <v>1208</v>
      </c>
      <c r="E33" s="86">
        <v>0</v>
      </c>
    </row>
    <row r="34" spans="1:5" s="2" customFormat="1" ht="15">
      <c r="A34" s="949"/>
      <c r="B34" s="949"/>
      <c r="C34" s="950" t="s">
        <v>1209</v>
      </c>
      <c r="D34" s="950"/>
      <c r="E34" s="86">
        <f>E32-E33</f>
        <v>9507.82</v>
      </c>
    </row>
    <row r="35" spans="1:5" s="2" customFormat="1" ht="15">
      <c r="A35" s="949"/>
      <c r="B35" s="949"/>
      <c r="C35" s="91" t="s">
        <v>1204</v>
      </c>
      <c r="D35" s="85" t="s">
        <v>172</v>
      </c>
      <c r="E35" s="87">
        <f>E34</f>
        <v>9507.82</v>
      </c>
    </row>
    <row r="36" spans="1:5" s="2" customFormat="1" ht="4.5" customHeight="1">
      <c r="B36" s="88"/>
      <c r="C36" s="91" t="s">
        <v>1204</v>
      </c>
    </row>
    <row r="37" spans="1:5" s="2" customFormat="1" ht="15">
      <c r="B37" s="88"/>
      <c r="C37" s="91" t="s">
        <v>1204</v>
      </c>
      <c r="D37" s="67"/>
      <c r="E37" s="67"/>
    </row>
    <row r="38" spans="1:5" s="2" customFormat="1" ht="21">
      <c r="A38" s="71" t="s">
        <v>1210</v>
      </c>
      <c r="B38" s="72"/>
      <c r="C38" s="72"/>
      <c r="D38" s="93" t="s">
        <v>1211</v>
      </c>
      <c r="E38" s="94">
        <f ca="1">TODAY()</f>
        <v>46225</v>
      </c>
    </row>
    <row r="39" spans="1:5" s="2" customFormat="1" ht="15">
      <c r="D39" s="92"/>
    </row>
    <row r="40" spans="1:5" s="2" customFormat="1" ht="15">
      <c r="A40" s="67"/>
      <c r="B40" s="89"/>
      <c r="D40" s="89"/>
      <c r="E40" s="89"/>
    </row>
    <row r="41" spans="1:5" s="2" customFormat="1" ht="15">
      <c r="A41" s="89"/>
      <c r="B41" s="65"/>
      <c r="C41" s="67"/>
      <c r="D41" s="89"/>
      <c r="E41" s="89"/>
    </row>
    <row r="42" spans="1:5" s="75" customFormat="1" ht="15">
      <c r="A42" s="65"/>
      <c r="B42" s="65"/>
      <c r="D42" s="65"/>
      <c r="E42" s="65"/>
    </row>
    <row r="43" spans="1:5" s="75" customFormat="1" ht="15">
      <c r="A43" s="65"/>
      <c r="B43" s="65"/>
      <c r="D43" s="65"/>
      <c r="E43" s="65"/>
    </row>
  </sheetData>
  <autoFilter ref="A20:E35" xr:uid="{9B339907-ACD8-4A9D-BAA1-6453893D3D30}">
    <filterColumn colId="2">
      <filters>
        <filter val="14"/>
        <filter val="28"/>
        <filter val="42"/>
        <filter val="SPACE"/>
        <filter val="SUBTOTAL LESS DISCOUNT"/>
      </filters>
    </filterColumn>
  </autoFilter>
  <mergeCells count="3">
    <mergeCell ref="D1:E1"/>
    <mergeCell ref="A33:B35"/>
    <mergeCell ref="C34:D34"/>
  </mergeCells>
  <pageMargins left="0.7" right="0.7" top="0.75" bottom="0.75" header="0.3" footer="0.3"/>
  <pageSetup fitToHeight="0"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E94A-4BED-47A0-93A6-2DF238546A6A}">
  <sheetPr codeName="Sheet2">
    <tabColor rgb="FFFFC000"/>
  </sheetPr>
  <dimension ref="A1:Y104"/>
  <sheetViews>
    <sheetView topLeftCell="H50" workbookViewId="0">
      <selection activeCell="J86" sqref="J86"/>
    </sheetView>
  </sheetViews>
  <sheetFormatPr defaultRowHeight="15"/>
  <cols>
    <col min="1" max="1" width="13.140625" bestFit="1" customWidth="1"/>
    <col min="2" max="2" width="14.85546875" bestFit="1" customWidth="1"/>
    <col min="3" max="3" width="17.28515625" bestFit="1" customWidth="1"/>
    <col min="5" max="5" width="13" customWidth="1"/>
    <col min="6" max="6" width="18.140625" customWidth="1"/>
    <col min="8" max="8" width="14.140625" style="1" bestFit="1" customWidth="1"/>
    <col min="9" max="9" width="18.42578125" customWidth="1"/>
    <col min="10" max="10" width="73.5703125" bestFit="1" customWidth="1"/>
    <col min="11" max="11" width="11.140625" customWidth="1"/>
    <col min="12" max="12" width="9.85546875" style="7" bestFit="1" customWidth="1"/>
    <col min="13" max="13" width="22.42578125" bestFit="1" customWidth="1"/>
    <col min="14" max="15" width="14.5703125" style="7" customWidth="1"/>
    <col min="21" max="21" width="14.28515625" bestFit="1" customWidth="1"/>
    <col min="22" max="22" width="14.85546875" bestFit="1" customWidth="1"/>
    <col min="23" max="23" width="16.28515625" bestFit="1" customWidth="1"/>
    <col min="24" max="24" width="10.5703125" bestFit="1" customWidth="1"/>
    <col min="25" max="25" width="14.28515625" bestFit="1" customWidth="1"/>
  </cols>
  <sheetData>
    <row r="1" spans="1:16" s="3" customFormat="1" ht="18" customHeight="1">
      <c r="A1" s="3" t="s">
        <v>1212</v>
      </c>
      <c r="B1" s="3" t="s">
        <v>1213</v>
      </c>
      <c r="C1" s="3" t="s">
        <v>1214</v>
      </c>
      <c r="D1" s="3" t="s">
        <v>94</v>
      </c>
      <c r="E1" s="3" t="s">
        <v>1215</v>
      </c>
      <c r="F1" s="3" t="s">
        <v>1216</v>
      </c>
      <c r="H1" s="339"/>
      <c r="I1" s="3" t="s">
        <v>1217</v>
      </c>
      <c r="K1" s="951" t="s">
        <v>1218</v>
      </c>
      <c r="L1" s="951"/>
      <c r="N1" s="744"/>
      <c r="O1" s="744"/>
      <c r="P1" s="3" t="s">
        <v>1219</v>
      </c>
    </row>
    <row r="2" spans="1:16">
      <c r="A2" t="s">
        <v>1220</v>
      </c>
      <c r="B2" t="s">
        <v>1221</v>
      </c>
      <c r="C2" t="s">
        <v>1222</v>
      </c>
      <c r="D2" t="s">
        <v>49</v>
      </c>
      <c r="F2" t="s">
        <v>102</v>
      </c>
      <c r="J2" s="6" t="s">
        <v>1223</v>
      </c>
      <c r="K2" t="s">
        <v>1224</v>
      </c>
      <c r="L2" s="7" t="s">
        <v>1225</v>
      </c>
      <c r="M2" t="s">
        <v>1184</v>
      </c>
      <c r="N2" s="7" t="s">
        <v>1226</v>
      </c>
      <c r="O2" s="7" t="s">
        <v>326</v>
      </c>
      <c r="P2" t="s">
        <v>1227</v>
      </c>
    </row>
    <row r="3" spans="1:16">
      <c r="A3" t="s">
        <v>68</v>
      </c>
      <c r="B3" t="s">
        <v>71</v>
      </c>
      <c r="C3" t="s">
        <v>1228</v>
      </c>
      <c r="D3" t="s">
        <v>38</v>
      </c>
      <c r="F3" t="s">
        <v>1229</v>
      </c>
      <c r="H3"/>
      <c r="I3" t="s">
        <v>178</v>
      </c>
      <c r="J3" t="s">
        <v>346</v>
      </c>
      <c r="K3" s="58">
        <v>427</v>
      </c>
      <c r="L3" s="7">
        <v>242.5</v>
      </c>
      <c r="P3" t="s">
        <v>1230</v>
      </c>
    </row>
    <row r="4" spans="1:16">
      <c r="A4" t="s">
        <v>1231</v>
      </c>
      <c r="B4" t="s">
        <v>1232</v>
      </c>
      <c r="C4" t="s">
        <v>74</v>
      </c>
      <c r="F4" t="s">
        <v>1233</v>
      </c>
      <c r="H4"/>
      <c r="I4" t="s">
        <v>184</v>
      </c>
      <c r="J4" t="s">
        <v>349</v>
      </c>
      <c r="K4" s="58"/>
      <c r="L4" s="7">
        <v>73</v>
      </c>
      <c r="P4" t="s">
        <v>1234</v>
      </c>
    </row>
    <row r="5" spans="1:16">
      <c r="C5" t="s">
        <v>1232</v>
      </c>
      <c r="H5"/>
      <c r="I5" t="s">
        <v>187</v>
      </c>
      <c r="J5" t="s">
        <v>351</v>
      </c>
      <c r="K5" s="58">
        <v>181</v>
      </c>
      <c r="L5" s="7">
        <v>76.5</v>
      </c>
    </row>
    <row r="6" spans="1:16">
      <c r="H6"/>
      <c r="I6" t="s">
        <v>190</v>
      </c>
      <c r="J6" t="s">
        <v>353</v>
      </c>
      <c r="K6" s="58">
        <v>237</v>
      </c>
      <c r="L6" s="7">
        <v>97</v>
      </c>
    </row>
    <row r="7" spans="1:16">
      <c r="H7"/>
      <c r="I7" t="s">
        <v>192</v>
      </c>
      <c r="J7" t="s">
        <v>355</v>
      </c>
      <c r="K7" s="58">
        <v>309</v>
      </c>
      <c r="L7" s="7">
        <v>101</v>
      </c>
    </row>
    <row r="8" spans="1:16">
      <c r="H8"/>
      <c r="I8" t="s">
        <v>194</v>
      </c>
      <c r="J8" t="s">
        <v>360</v>
      </c>
      <c r="K8" s="58">
        <v>110</v>
      </c>
      <c r="L8" s="7">
        <v>46</v>
      </c>
    </row>
    <row r="9" spans="1:16">
      <c r="H9"/>
      <c r="I9" t="s">
        <v>198</v>
      </c>
      <c r="J9" t="s">
        <v>364</v>
      </c>
      <c r="K9" s="58">
        <v>94</v>
      </c>
      <c r="L9" s="7">
        <v>65.5</v>
      </c>
    </row>
    <row r="10" spans="1:16">
      <c r="H10"/>
      <c r="I10" t="s">
        <v>200</v>
      </c>
      <c r="J10" t="s">
        <v>1235</v>
      </c>
      <c r="K10" s="58">
        <v>116.7</v>
      </c>
      <c r="L10" s="7">
        <v>79</v>
      </c>
    </row>
    <row r="11" spans="1:16">
      <c r="H11"/>
      <c r="I11" t="s">
        <v>181</v>
      </c>
      <c r="J11" t="s">
        <v>348</v>
      </c>
      <c r="K11" s="58">
        <v>447</v>
      </c>
      <c r="L11" s="7">
        <v>242.5</v>
      </c>
    </row>
    <row r="12" spans="1:16">
      <c r="H12"/>
      <c r="I12" t="s">
        <v>201</v>
      </c>
      <c r="J12" t="s">
        <v>368</v>
      </c>
      <c r="K12" s="58"/>
      <c r="L12" s="7">
        <v>150</v>
      </c>
    </row>
    <row r="13" spans="1:16">
      <c r="H13"/>
      <c r="I13" t="s">
        <v>205</v>
      </c>
      <c r="J13" t="s">
        <v>206</v>
      </c>
      <c r="K13" s="58"/>
      <c r="L13" s="7">
        <v>150</v>
      </c>
    </row>
    <row r="14" spans="1:16">
      <c r="H14"/>
      <c r="I14" t="s">
        <v>207</v>
      </c>
      <c r="J14" t="s">
        <v>208</v>
      </c>
      <c r="K14" s="58"/>
      <c r="L14" s="7">
        <v>150</v>
      </c>
    </row>
    <row r="15" spans="1:16">
      <c r="H15"/>
      <c r="I15" t="s">
        <v>210</v>
      </c>
      <c r="J15" t="s">
        <v>1236</v>
      </c>
      <c r="K15" s="58">
        <v>221</v>
      </c>
      <c r="L15" s="7">
        <v>190</v>
      </c>
    </row>
    <row r="16" spans="1:16">
      <c r="H16"/>
      <c r="I16" t="s">
        <v>213</v>
      </c>
      <c r="J16" t="s">
        <v>1237</v>
      </c>
      <c r="K16" s="58">
        <v>224</v>
      </c>
      <c r="L16" s="7">
        <v>200</v>
      </c>
    </row>
    <row r="17" spans="7:12">
      <c r="H17"/>
      <c r="I17" t="s">
        <v>216</v>
      </c>
      <c r="J17" t="s">
        <v>1238</v>
      </c>
      <c r="K17" s="58">
        <v>327</v>
      </c>
      <c r="L17" s="7">
        <v>200</v>
      </c>
    </row>
    <row r="18" spans="7:12">
      <c r="H18"/>
      <c r="I18" t="s">
        <v>394</v>
      </c>
      <c r="J18" t="s">
        <v>1239</v>
      </c>
      <c r="K18" s="58">
        <v>48</v>
      </c>
      <c r="L18" s="7">
        <v>51</v>
      </c>
    </row>
    <row r="19" spans="7:12">
      <c r="H19"/>
      <c r="I19" t="s">
        <v>250</v>
      </c>
      <c r="J19" t="s">
        <v>251</v>
      </c>
      <c r="K19" s="58">
        <v>150</v>
      </c>
      <c r="L19" s="7">
        <v>14</v>
      </c>
    </row>
    <row r="20" spans="7:12">
      <c r="H20"/>
      <c r="I20" t="s">
        <v>218</v>
      </c>
      <c r="J20" t="s">
        <v>1240</v>
      </c>
      <c r="K20" s="58">
        <v>24</v>
      </c>
      <c r="L20" s="7">
        <v>20.5</v>
      </c>
    </row>
    <row r="21" spans="7:12">
      <c r="H21"/>
      <c r="I21" t="s">
        <v>196</v>
      </c>
      <c r="J21" t="s">
        <v>362</v>
      </c>
      <c r="K21" s="58">
        <v>203</v>
      </c>
      <c r="L21" s="7">
        <v>97.5</v>
      </c>
    </row>
    <row r="22" spans="7:12">
      <c r="H22"/>
      <c r="I22" t="s">
        <v>238</v>
      </c>
      <c r="J22" t="s">
        <v>1241</v>
      </c>
      <c r="K22" s="58">
        <v>58</v>
      </c>
      <c r="L22" s="7">
        <v>20</v>
      </c>
    </row>
    <row r="23" spans="7:12">
      <c r="H23"/>
      <c r="I23" t="s">
        <v>253</v>
      </c>
      <c r="J23" t="s">
        <v>254</v>
      </c>
      <c r="K23" s="58">
        <v>71</v>
      </c>
      <c r="L23" s="7">
        <v>12</v>
      </c>
    </row>
    <row r="24" spans="7:12">
      <c r="H24"/>
      <c r="I24" t="s">
        <v>1242</v>
      </c>
      <c r="J24" t="s">
        <v>396</v>
      </c>
      <c r="K24" s="58">
        <v>36</v>
      </c>
      <c r="L24" s="7">
        <v>25</v>
      </c>
    </row>
    <row r="25" spans="7:12">
      <c r="H25"/>
      <c r="I25" t="s">
        <v>241</v>
      </c>
      <c r="J25" t="s">
        <v>1243</v>
      </c>
      <c r="K25" s="59"/>
      <c r="L25" s="7">
        <v>25</v>
      </c>
    </row>
    <row r="26" spans="7:12">
      <c r="H26"/>
      <c r="I26" t="s">
        <v>1244</v>
      </c>
      <c r="J26" t="s">
        <v>1245</v>
      </c>
      <c r="L26" s="7">
        <v>20</v>
      </c>
    </row>
    <row r="27" spans="7:12">
      <c r="H27"/>
      <c r="I27" t="s">
        <v>220</v>
      </c>
      <c r="J27" t="s">
        <v>1246</v>
      </c>
      <c r="L27" s="7">
        <v>150</v>
      </c>
    </row>
    <row r="28" spans="7:12">
      <c r="H28"/>
      <c r="I28" t="s">
        <v>223</v>
      </c>
      <c r="J28" t="s">
        <v>1247</v>
      </c>
      <c r="L28" s="7">
        <v>150</v>
      </c>
    </row>
    <row r="29" spans="7:12">
      <c r="H29"/>
      <c r="I29" t="s">
        <v>229</v>
      </c>
      <c r="J29" t="s">
        <v>1248</v>
      </c>
      <c r="L29" s="7">
        <v>190</v>
      </c>
    </row>
    <row r="30" spans="7:12">
      <c r="H30"/>
      <c r="I30" t="s">
        <v>232</v>
      </c>
      <c r="J30" t="s">
        <v>1249</v>
      </c>
      <c r="L30" s="7">
        <v>200</v>
      </c>
    </row>
    <row r="31" spans="7:12">
      <c r="G31" s="141"/>
      <c r="H31"/>
      <c r="I31" t="s">
        <v>235</v>
      </c>
      <c r="J31" t="s">
        <v>1250</v>
      </c>
      <c r="L31" s="7">
        <v>200</v>
      </c>
    </row>
    <row r="32" spans="7:12">
      <c r="H32"/>
      <c r="I32" t="s">
        <v>397</v>
      </c>
      <c r="J32" t="s">
        <v>886</v>
      </c>
      <c r="L32" s="7">
        <v>52</v>
      </c>
    </row>
    <row r="33" spans="8:13">
      <c r="H33"/>
      <c r="I33" t="s">
        <v>400</v>
      </c>
      <c r="J33" t="s">
        <v>887</v>
      </c>
      <c r="L33" s="7">
        <v>52</v>
      </c>
    </row>
    <row r="34" spans="8:13">
      <c r="H34"/>
      <c r="I34" t="s">
        <v>402</v>
      </c>
      <c r="J34" t="s">
        <v>888</v>
      </c>
      <c r="L34" s="7">
        <v>52</v>
      </c>
    </row>
    <row r="35" spans="8:13">
      <c r="I35" t="s">
        <v>427</v>
      </c>
      <c r="J35" t="s">
        <v>896</v>
      </c>
      <c r="L35" s="7">
        <v>81</v>
      </c>
    </row>
    <row r="36" spans="8:13">
      <c r="I36" t="s">
        <v>779</v>
      </c>
      <c r="J36" t="s">
        <v>1251</v>
      </c>
      <c r="L36" s="7">
        <v>30</v>
      </c>
    </row>
    <row r="37" spans="8:13">
      <c r="I37" t="s">
        <v>814</v>
      </c>
      <c r="J37" t="s">
        <v>1252</v>
      </c>
      <c r="L37" s="7">
        <v>10.5</v>
      </c>
    </row>
    <row r="38" spans="8:13">
      <c r="I38" t="s">
        <v>256</v>
      </c>
      <c r="J38" t="s">
        <v>1253</v>
      </c>
      <c r="M38" s="7">
        <v>215.1</v>
      </c>
    </row>
    <row r="39" spans="8:13">
      <c r="I39" t="s">
        <v>259</v>
      </c>
      <c r="J39" t="s">
        <v>1254</v>
      </c>
      <c r="M39" s="7">
        <v>193.16</v>
      </c>
    </row>
    <row r="40" spans="8:13">
      <c r="I40" t="s">
        <v>262</v>
      </c>
      <c r="J40" t="s">
        <v>1255</v>
      </c>
      <c r="M40" s="7">
        <v>170.72</v>
      </c>
    </row>
    <row r="41" spans="8:13">
      <c r="I41" t="s">
        <v>265</v>
      </c>
      <c r="J41" t="s">
        <v>1256</v>
      </c>
      <c r="M41" s="7">
        <v>151.19999999999999</v>
      </c>
    </row>
    <row r="42" spans="8:13">
      <c r="I42" t="s">
        <v>274</v>
      </c>
      <c r="J42" t="s">
        <v>1205</v>
      </c>
      <c r="M42" s="7">
        <v>93.49</v>
      </c>
    </row>
    <row r="43" spans="8:13">
      <c r="I43" t="s">
        <v>272</v>
      </c>
      <c r="J43" t="s">
        <v>1206</v>
      </c>
      <c r="M43" s="7">
        <v>46.75</v>
      </c>
    </row>
    <row r="44" spans="8:13">
      <c r="I44" t="s">
        <v>269</v>
      </c>
      <c r="J44" t="s">
        <v>270</v>
      </c>
      <c r="M44" s="7">
        <v>99.66</v>
      </c>
    </row>
    <row r="45" spans="8:13">
      <c r="I45" t="s">
        <v>433</v>
      </c>
      <c r="J45" t="s">
        <v>434</v>
      </c>
      <c r="L45" s="7">
        <v>825</v>
      </c>
      <c r="M45" s="7"/>
    </row>
    <row r="46" spans="8:13">
      <c r="I46" t="s">
        <v>435</v>
      </c>
      <c r="J46" t="s">
        <v>436</v>
      </c>
      <c r="L46" s="7">
        <v>1062</v>
      </c>
      <c r="M46" s="7"/>
    </row>
    <row r="47" spans="8:13">
      <c r="I47" t="s">
        <v>445</v>
      </c>
      <c r="J47" t="s">
        <v>1257</v>
      </c>
      <c r="L47" s="7">
        <v>192</v>
      </c>
      <c r="M47" s="7"/>
    </row>
    <row r="48" spans="8:13">
      <c r="I48" t="s">
        <v>392</v>
      </c>
      <c r="J48" t="s">
        <v>885</v>
      </c>
      <c r="L48" s="7">
        <v>53</v>
      </c>
      <c r="M48" s="7"/>
    </row>
    <row r="49" spans="8:15">
      <c r="M49" s="7"/>
    </row>
    <row r="50" spans="8:15">
      <c r="M50" s="7"/>
    </row>
    <row r="51" spans="8:15">
      <c r="H51" s="1" t="s">
        <v>1258</v>
      </c>
    </row>
    <row r="52" spans="8:15">
      <c r="H52" s="1" t="s">
        <v>1259</v>
      </c>
      <c r="I52" t="s">
        <v>649</v>
      </c>
      <c r="J52" t="s">
        <v>1260</v>
      </c>
      <c r="K52" s="54"/>
      <c r="L52" s="7">
        <v>15</v>
      </c>
    </row>
    <row r="53" spans="8:15">
      <c r="H53" s="1" t="s">
        <v>1261</v>
      </c>
      <c r="I53" t="s">
        <v>1262</v>
      </c>
      <c r="J53" t="s">
        <v>1263</v>
      </c>
      <c r="K53" s="54"/>
      <c r="L53" s="7">
        <v>1.5</v>
      </c>
    </row>
    <row r="54" spans="8:15">
      <c r="H54" s="1" t="s">
        <v>1264</v>
      </c>
      <c r="I54" t="s">
        <v>653</v>
      </c>
      <c r="J54" t="s">
        <v>1265</v>
      </c>
      <c r="K54" s="54"/>
      <c r="L54" s="7">
        <v>81.06</v>
      </c>
      <c r="N54" s="7">
        <v>158.72999999999999</v>
      </c>
      <c r="O54" s="321">
        <f>(N54/L54)-1</f>
        <v>0.95817912657290871</v>
      </c>
    </row>
    <row r="55" spans="8:15">
      <c r="H55" s="1" t="s">
        <v>1266</v>
      </c>
      <c r="I55" t="s">
        <v>655</v>
      </c>
      <c r="J55" t="s">
        <v>899</v>
      </c>
      <c r="K55" s="54"/>
      <c r="L55" s="7">
        <v>6</v>
      </c>
    </row>
    <row r="56" spans="8:15">
      <c r="H56" s="1" t="s">
        <v>1267</v>
      </c>
      <c r="I56" t="s">
        <v>657</v>
      </c>
      <c r="J56" t="s">
        <v>900</v>
      </c>
      <c r="K56" s="54"/>
      <c r="L56" s="7">
        <v>8.9499999999999993</v>
      </c>
    </row>
    <row r="57" spans="8:15">
      <c r="H57" s="1" t="s">
        <v>1268</v>
      </c>
      <c r="I57" t="s">
        <v>661</v>
      </c>
      <c r="J57" t="s">
        <v>901</v>
      </c>
      <c r="K57" s="54"/>
      <c r="L57" s="7">
        <v>6.5</v>
      </c>
    </row>
    <row r="58" spans="8:15">
      <c r="H58" s="1" t="s">
        <v>1269</v>
      </c>
      <c r="I58" t="s">
        <v>1270</v>
      </c>
      <c r="J58" t="s">
        <v>1271</v>
      </c>
      <c r="K58" s="54"/>
      <c r="L58" s="7">
        <v>28.91</v>
      </c>
    </row>
    <row r="59" spans="8:15">
      <c r="H59" s="1" t="s">
        <v>1272</v>
      </c>
      <c r="I59" t="s">
        <v>665</v>
      </c>
      <c r="J59" t="s">
        <v>903</v>
      </c>
      <c r="K59" s="54"/>
      <c r="L59" s="7">
        <v>0.34</v>
      </c>
    </row>
    <row r="60" spans="8:15">
      <c r="H60" s="1" t="s">
        <v>1273</v>
      </c>
      <c r="I60" t="s">
        <v>667</v>
      </c>
      <c r="J60" t="s">
        <v>904</v>
      </c>
      <c r="K60" s="54"/>
      <c r="L60" s="7">
        <v>15.5</v>
      </c>
    </row>
    <row r="61" spans="8:15">
      <c r="H61" s="1" t="s">
        <v>1274</v>
      </c>
      <c r="I61" t="s">
        <v>669</v>
      </c>
      <c r="J61" t="s">
        <v>905</v>
      </c>
      <c r="K61" s="54"/>
      <c r="L61" s="7">
        <v>0.25</v>
      </c>
    </row>
    <row r="62" spans="8:15">
      <c r="H62" s="1" t="s">
        <v>1275</v>
      </c>
      <c r="I62" t="s">
        <v>671</v>
      </c>
      <c r="J62" t="s">
        <v>906</v>
      </c>
      <c r="K62" s="54"/>
      <c r="L62" s="7">
        <v>0.18</v>
      </c>
    </row>
    <row r="63" spans="8:15">
      <c r="H63" s="1" t="s">
        <v>1276</v>
      </c>
      <c r="I63" t="s">
        <v>673</v>
      </c>
      <c r="J63" t="s">
        <v>907</v>
      </c>
      <c r="K63" s="54"/>
      <c r="L63" s="7">
        <v>1</v>
      </c>
    </row>
    <row r="64" spans="8:15">
      <c r="H64" s="1" t="s">
        <v>1277</v>
      </c>
      <c r="I64" t="s">
        <v>675</v>
      </c>
      <c r="J64" t="s">
        <v>908</v>
      </c>
      <c r="K64" s="54"/>
      <c r="L64" s="7">
        <v>0.95</v>
      </c>
    </row>
    <row r="65" spans="8:12">
      <c r="H65" s="1" t="s">
        <v>1278</v>
      </c>
      <c r="I65" t="s">
        <v>677</v>
      </c>
      <c r="J65" t="s">
        <v>909</v>
      </c>
      <c r="K65" s="54"/>
      <c r="L65" s="7">
        <v>0.55000000000000004</v>
      </c>
    </row>
    <row r="66" spans="8:12">
      <c r="H66" s="1" t="s">
        <v>1279</v>
      </c>
      <c r="I66" t="s">
        <v>679</v>
      </c>
      <c r="J66" t="s">
        <v>910</v>
      </c>
      <c r="K66" s="54"/>
      <c r="L66" s="7">
        <v>0.4</v>
      </c>
    </row>
    <row r="67" spans="8:12">
      <c r="H67" s="1" t="s">
        <v>1280</v>
      </c>
      <c r="I67" t="s">
        <v>681</v>
      </c>
      <c r="J67" t="s">
        <v>911</v>
      </c>
      <c r="K67" s="54"/>
      <c r="L67" s="7">
        <v>0.26</v>
      </c>
    </row>
    <row r="68" spans="8:12">
      <c r="H68" s="1" t="s">
        <v>1281</v>
      </c>
      <c r="I68" t="s">
        <v>683</v>
      </c>
      <c r="J68" t="s">
        <v>912</v>
      </c>
      <c r="K68" s="54"/>
      <c r="L68" s="7">
        <v>0.5</v>
      </c>
    </row>
    <row r="69" spans="8:12">
      <c r="H69" s="1" t="s">
        <v>1282</v>
      </c>
      <c r="I69" t="s">
        <v>685</v>
      </c>
      <c r="J69" t="s">
        <v>913</v>
      </c>
      <c r="K69" s="54"/>
      <c r="L69" s="7">
        <v>0.09</v>
      </c>
    </row>
    <row r="70" spans="8:12">
      <c r="H70" s="1" t="s">
        <v>1283</v>
      </c>
      <c r="I70" t="s">
        <v>687</v>
      </c>
      <c r="J70" t="s">
        <v>914</v>
      </c>
      <c r="K70" s="54"/>
      <c r="L70" s="7">
        <v>0.14000000000000001</v>
      </c>
    </row>
    <row r="71" spans="8:12">
      <c r="H71" s="1" t="s">
        <v>1284</v>
      </c>
      <c r="I71" t="s">
        <v>689</v>
      </c>
      <c r="J71" t="s">
        <v>915</v>
      </c>
      <c r="K71" s="54"/>
      <c r="L71" s="7">
        <v>1.25</v>
      </c>
    </row>
    <row r="72" spans="8:12">
      <c r="H72" s="1" t="s">
        <v>1285</v>
      </c>
      <c r="I72" t="s">
        <v>691</v>
      </c>
      <c r="J72" t="s">
        <v>916</v>
      </c>
      <c r="K72" s="54"/>
      <c r="L72" s="7">
        <v>0.11</v>
      </c>
    </row>
    <row r="73" spans="8:12">
      <c r="H73" s="1" t="s">
        <v>1286</v>
      </c>
      <c r="I73" t="s">
        <v>693</v>
      </c>
      <c r="J73" t="s">
        <v>917</v>
      </c>
      <c r="K73" s="54"/>
      <c r="L73" s="7">
        <v>7.0000000000000007E-2</v>
      </c>
    </row>
    <row r="74" spans="8:12">
      <c r="H74" s="1" t="s">
        <v>1287</v>
      </c>
      <c r="I74" t="s">
        <v>695</v>
      </c>
      <c r="J74" t="s">
        <v>918</v>
      </c>
      <c r="K74" s="54"/>
      <c r="L74" s="7">
        <v>0.09</v>
      </c>
    </row>
    <row r="75" spans="8:12">
      <c r="H75" s="1" t="s">
        <v>1288</v>
      </c>
      <c r="I75" t="s">
        <v>697</v>
      </c>
      <c r="J75" t="s">
        <v>919</v>
      </c>
      <c r="K75" s="54"/>
      <c r="L75" s="7">
        <v>0.3</v>
      </c>
    </row>
    <row r="76" spans="8:12">
      <c r="H76" s="1" t="s">
        <v>1289</v>
      </c>
      <c r="I76" t="s">
        <v>699</v>
      </c>
      <c r="J76" t="s">
        <v>920</v>
      </c>
      <c r="K76" s="54"/>
      <c r="L76" s="7">
        <v>0.17</v>
      </c>
    </row>
    <row r="77" spans="8:12">
      <c r="H77" s="1" t="s">
        <v>1290</v>
      </c>
      <c r="I77" t="s">
        <v>701</v>
      </c>
      <c r="J77" t="s">
        <v>921</v>
      </c>
      <c r="K77" s="54"/>
      <c r="L77" s="7">
        <v>1.1599999999999999</v>
      </c>
    </row>
    <row r="78" spans="8:12">
      <c r="H78" s="1" t="s">
        <v>1291</v>
      </c>
      <c r="I78" t="s">
        <v>703</v>
      </c>
      <c r="J78" t="s">
        <v>922</v>
      </c>
      <c r="K78" s="54"/>
      <c r="L78" s="7">
        <v>1.47</v>
      </c>
    </row>
    <row r="79" spans="8:12">
      <c r="H79" s="1" t="s">
        <v>1292</v>
      </c>
      <c r="I79" t="s">
        <v>705</v>
      </c>
      <c r="J79" t="s">
        <v>923</v>
      </c>
      <c r="K79" s="54"/>
      <c r="L79" s="7">
        <v>0.23</v>
      </c>
    </row>
    <row r="80" spans="8:12">
      <c r="H80" s="1" t="s">
        <v>1293</v>
      </c>
      <c r="I80" t="s">
        <v>707</v>
      </c>
      <c r="J80" t="s">
        <v>924</v>
      </c>
      <c r="K80" s="54"/>
      <c r="L80" s="7">
        <v>0.1</v>
      </c>
    </row>
    <row r="81" spans="8:15">
      <c r="H81" s="1" t="s">
        <v>1294</v>
      </c>
      <c r="I81" t="s">
        <v>709</v>
      </c>
      <c r="J81" t="s">
        <v>925</v>
      </c>
      <c r="K81" s="54"/>
      <c r="L81" s="7">
        <v>1.06</v>
      </c>
    </row>
    <row r="82" spans="8:15">
      <c r="H82" s="1" t="s">
        <v>1295</v>
      </c>
      <c r="I82" t="s">
        <v>711</v>
      </c>
      <c r="J82" t="s">
        <v>926</v>
      </c>
      <c r="K82" s="54"/>
      <c r="L82" s="7">
        <v>11</v>
      </c>
    </row>
    <row r="83" spans="8:15">
      <c r="H83" s="1" t="s">
        <v>1296</v>
      </c>
      <c r="I83" t="s">
        <v>713</v>
      </c>
      <c r="J83" t="s">
        <v>714</v>
      </c>
      <c r="K83" s="54"/>
      <c r="L83" s="7">
        <v>1.18</v>
      </c>
    </row>
    <row r="84" spans="8:15">
      <c r="H84" s="1" t="s">
        <v>1297</v>
      </c>
      <c r="I84" t="s">
        <v>715</v>
      </c>
      <c r="J84" t="s">
        <v>716</v>
      </c>
      <c r="K84" s="54"/>
      <c r="L84" s="7">
        <v>3.42</v>
      </c>
    </row>
    <row r="85" spans="8:15">
      <c r="H85" s="1" t="s">
        <v>1298</v>
      </c>
      <c r="I85" t="s">
        <v>717</v>
      </c>
      <c r="J85" t="s">
        <v>718</v>
      </c>
      <c r="L85" s="7">
        <v>0.84</v>
      </c>
    </row>
    <row r="86" spans="8:15">
      <c r="H86" s="1" t="s">
        <v>1299</v>
      </c>
      <c r="I86" t="s">
        <v>663</v>
      </c>
      <c r="J86" t="s">
        <v>902</v>
      </c>
      <c r="L86" s="7">
        <v>9.5950000000000006</v>
      </c>
    </row>
    <row r="87" spans="8:15">
      <c r="H87" s="1" t="s">
        <v>1300</v>
      </c>
      <c r="I87" t="s">
        <v>719</v>
      </c>
      <c r="J87" t="s">
        <v>720</v>
      </c>
      <c r="L87" s="7">
        <v>1.74</v>
      </c>
    </row>
    <row r="88" spans="8:15">
      <c r="H88" s="1" t="s">
        <v>1301</v>
      </c>
      <c r="I88" t="s">
        <v>651</v>
      </c>
      <c r="J88" t="s">
        <v>652</v>
      </c>
      <c r="L88" s="7">
        <v>2.75</v>
      </c>
    </row>
    <row r="89" spans="8:15">
      <c r="H89" s="1" t="s">
        <v>1302</v>
      </c>
      <c r="I89" t="s">
        <v>927</v>
      </c>
      <c r="J89" t="s">
        <v>928</v>
      </c>
      <c r="L89" s="796">
        <v>2.75</v>
      </c>
    </row>
    <row r="90" spans="8:15">
      <c r="H90" s="1" t="s">
        <v>1303</v>
      </c>
      <c r="I90" t="s">
        <v>1304</v>
      </c>
      <c r="J90" t="s">
        <v>1305</v>
      </c>
      <c r="L90" s="7">
        <v>0.81</v>
      </c>
    </row>
    <row r="91" spans="8:15">
      <c r="H91" s="1" t="s">
        <v>1306</v>
      </c>
      <c r="I91" t="s">
        <v>581</v>
      </c>
      <c r="J91" t="s">
        <v>929</v>
      </c>
      <c r="L91" s="7">
        <v>22.4925</v>
      </c>
    </row>
    <row r="92" spans="8:15">
      <c r="I92" t="s">
        <v>1307</v>
      </c>
      <c r="J92" t="s">
        <v>932</v>
      </c>
      <c r="L92" s="7">
        <v>100.06</v>
      </c>
      <c r="N92" s="7">
        <f>L92*1.96</f>
        <v>196.11760000000001</v>
      </c>
      <c r="O92" s="321">
        <f>(N92/L92)-1</f>
        <v>0.96</v>
      </c>
    </row>
    <row r="97" spans="8:25">
      <c r="H97" s="806" t="s">
        <v>1308</v>
      </c>
      <c r="I97" s="806"/>
      <c r="J97" s="806"/>
      <c r="L97" s="496" t="s">
        <v>1309</v>
      </c>
      <c r="U97" s="122" t="s">
        <v>1310</v>
      </c>
      <c r="V97" s="122" t="s">
        <v>1311</v>
      </c>
      <c r="W97" s="122" t="s">
        <v>1312</v>
      </c>
      <c r="X97" s="122" t="s">
        <v>1313</v>
      </c>
      <c r="Y97" s="122" t="s">
        <v>1314</v>
      </c>
    </row>
    <row r="98" spans="8:25">
      <c r="I98" t="s">
        <v>757</v>
      </c>
      <c r="J98" t="s">
        <v>1315</v>
      </c>
      <c r="L98" s="7">
        <v>750</v>
      </c>
    </row>
    <row r="99" spans="8:25">
      <c r="I99" t="s">
        <v>767</v>
      </c>
      <c r="J99" t="s">
        <v>1316</v>
      </c>
      <c r="L99" s="7">
        <v>95</v>
      </c>
    </row>
    <row r="100" spans="8:25">
      <c r="I100" t="s">
        <v>759</v>
      </c>
      <c r="J100" t="s">
        <v>1317</v>
      </c>
      <c r="L100" s="7">
        <v>76</v>
      </c>
    </row>
    <row r="101" spans="8:25">
      <c r="I101" t="s">
        <v>764</v>
      </c>
      <c r="J101" t="s">
        <v>1318</v>
      </c>
      <c r="L101" s="7">
        <v>100</v>
      </c>
    </row>
    <row r="102" spans="8:25">
      <c r="I102" t="s">
        <v>1319</v>
      </c>
      <c r="L102" s="7">
        <v>284</v>
      </c>
    </row>
    <row r="103" spans="8:25">
      <c r="I103" t="s">
        <v>755</v>
      </c>
      <c r="J103" t="s">
        <v>756</v>
      </c>
      <c r="L103" s="7">
        <v>1032</v>
      </c>
    </row>
    <row r="104" spans="8:25">
      <c r="I104" t="s">
        <v>452</v>
      </c>
      <c r="J104" s="141" t="s">
        <v>453</v>
      </c>
      <c r="L104" s="7">
        <v>120</v>
      </c>
    </row>
  </sheetData>
  <mergeCells count="2">
    <mergeCell ref="K1:L1"/>
    <mergeCell ref="H97:J97"/>
  </mergeCells>
  <phoneticPr fontId="10" type="noConversion"/>
  <dataValidations disablePrompts="1" count="1">
    <dataValidation type="list" allowBlank="1" showInputMessage="1" showErrorMessage="1" sqref="P2:P4" xr:uid="{1A1C412A-2AA4-4D1E-9454-E738E38C8C37}">
      <formula1>"Summit Adventure,Summit Flex,Summit Soar"</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AED775E-CDB2-4C28-AB77-D33C62308BA6}">
            <xm:f>Discovery!$B$37&lt;96</xm:f>
            <x14:dxf>
              <fill>
                <patternFill patternType="solid">
                  <bgColor theme="1" tint="0.499984740745262"/>
                </patternFill>
              </fill>
            </x14:dxf>
          </x14:cfRule>
          <xm:sqref>G3:H4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D29A-D9F8-450B-875A-8D256B430F5A}">
  <sheetPr codeName="Sheet5">
    <tabColor rgb="FFFF0000"/>
  </sheetPr>
  <dimension ref="A1:Q5"/>
  <sheetViews>
    <sheetView workbookViewId="0">
      <selection activeCell="I19" sqref="I19"/>
    </sheetView>
  </sheetViews>
  <sheetFormatPr defaultColWidth="9.140625" defaultRowHeight="15"/>
  <cols>
    <col min="1" max="2" width="13.28515625" style="480" bestFit="1" customWidth="1"/>
    <col min="3" max="3" width="15.7109375" style="480" bestFit="1" customWidth="1"/>
    <col min="4" max="4" width="31.7109375" style="480" bestFit="1" customWidth="1"/>
    <col min="5" max="5" width="24.28515625" style="480" bestFit="1" customWidth="1"/>
    <col min="6" max="6" width="11.42578125" style="480" bestFit="1" customWidth="1"/>
    <col min="7" max="7" width="5.7109375" style="480" bestFit="1" customWidth="1"/>
    <col min="8" max="8" width="6.5703125" style="480" bestFit="1" customWidth="1"/>
    <col min="9" max="9" width="12.85546875" style="480" bestFit="1" customWidth="1"/>
    <col min="10" max="10" width="13.28515625" style="480" bestFit="1" customWidth="1"/>
    <col min="11" max="11" width="36.140625" style="480" bestFit="1" customWidth="1"/>
    <col min="12" max="13" width="9.140625" style="480" customWidth="1"/>
    <col min="14" max="16384" width="9.140625" style="480"/>
  </cols>
  <sheetData>
    <row r="1" spans="1:17">
      <c r="A1" s="329" t="s">
        <v>1320</v>
      </c>
      <c r="B1" s="329" t="s">
        <v>1321</v>
      </c>
      <c r="C1" s="329" t="s">
        <v>1322</v>
      </c>
      <c r="D1" s="329" t="s">
        <v>1323</v>
      </c>
      <c r="E1" s="329" t="s">
        <v>1324</v>
      </c>
      <c r="F1" s="329" t="s">
        <v>1325</v>
      </c>
      <c r="G1" s="329" t="s">
        <v>1326</v>
      </c>
      <c r="H1" s="329" t="s">
        <v>1327</v>
      </c>
      <c r="I1" s="329" t="s">
        <v>1328</v>
      </c>
      <c r="J1" s="329" t="s">
        <v>1329</v>
      </c>
      <c r="K1" s="329" t="s">
        <v>1330</v>
      </c>
      <c r="L1" s="553"/>
      <c r="M1" s="141"/>
      <c r="N1" s="141"/>
      <c r="O1" s="141"/>
      <c r="P1" s="141"/>
      <c r="Q1" s="141"/>
    </row>
    <row r="2" spans="1:17">
      <c r="A2" s="141">
        <v>12552093278</v>
      </c>
      <c r="B2" s="141">
        <v>12552093278</v>
      </c>
      <c r="C2" s="141" t="s">
        <v>1407</v>
      </c>
      <c r="D2" s="141" t="s">
        <v>1331</v>
      </c>
      <c r="E2" s="141" t="s">
        <v>1332</v>
      </c>
      <c r="F2" s="141" t="s">
        <v>1333</v>
      </c>
      <c r="G2" s="141" t="s">
        <v>1334</v>
      </c>
      <c r="H2" s="141">
        <v>80525</v>
      </c>
      <c r="I2" s="629" t="s">
        <v>1335</v>
      </c>
      <c r="J2" s="141">
        <v>5203895979</v>
      </c>
      <c r="K2" s="141"/>
      <c r="L2" s="141"/>
      <c r="M2" s="141"/>
      <c r="N2" s="141"/>
      <c r="O2" s="141">
        <v>524.80999999999995</v>
      </c>
      <c r="P2" s="141">
        <v>173.74</v>
      </c>
      <c r="Q2" s="141"/>
    </row>
    <row r="4" spans="1:17">
      <c r="A4" s="952" t="s">
        <v>1336</v>
      </c>
      <c r="B4" s="952"/>
      <c r="C4" s="952"/>
      <c r="D4" s="952"/>
      <c r="E4" s="952"/>
      <c r="F4" s="952"/>
      <c r="G4" s="952"/>
      <c r="H4" s="952"/>
      <c r="I4" s="952"/>
      <c r="J4" s="952"/>
      <c r="K4" s="952"/>
      <c r="L4" s="553"/>
      <c r="M4" s="141"/>
      <c r="N4" s="141"/>
      <c r="O4" s="141"/>
      <c r="P4" s="141"/>
      <c r="Q4" s="141"/>
    </row>
    <row r="5" spans="1:17">
      <c r="A5" s="141" t="str">
        <f>PROPER(A2)</f>
        <v>12552093278</v>
      </c>
      <c r="B5" s="141" t="str">
        <f t="shared" ref="B5:J5" si="0">PROPER(B2)</f>
        <v>12552093278</v>
      </c>
      <c r="C5" s="141" t="str">
        <f t="shared" si="0"/>
        <v>Tyler Galiotto</v>
      </c>
      <c r="D5" s="141" t="str">
        <f>D2</f>
        <v>Soar Autism Center - South Fort Collins</v>
      </c>
      <c r="E5" s="141" t="str">
        <f>E2</f>
        <v>3801 Automation Way</v>
      </c>
      <c r="F5" s="141" t="str">
        <f t="shared" si="0"/>
        <v>Fort Collins</v>
      </c>
      <c r="G5" s="141" t="str">
        <f>G2</f>
        <v>CO</v>
      </c>
      <c r="H5" s="141">
        <f>H2</f>
        <v>80525</v>
      </c>
      <c r="I5" s="629" t="str">
        <f t="shared" si="0"/>
        <v>United States</v>
      </c>
      <c r="J5" s="141" t="str">
        <f t="shared" si="0"/>
        <v>5203895979</v>
      </c>
      <c r="K5" s="554" t="str">
        <f>IF(K2=0,"",K2)</f>
        <v/>
      </c>
      <c r="L5" s="141"/>
      <c r="M5" s="141"/>
      <c r="N5" s="141"/>
      <c r="O5" s="141"/>
      <c r="P5" s="141"/>
      <c r="Q5" s="141"/>
    </row>
  </sheetData>
  <mergeCells count="1">
    <mergeCell ref="A4:K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F816-25E1-401E-AA37-AE08C75F199F}">
  <sheetPr codeName="Sheet4"/>
  <dimension ref="A1:I25"/>
  <sheetViews>
    <sheetView workbookViewId="0">
      <selection activeCell="B8" sqref="B8"/>
    </sheetView>
  </sheetViews>
  <sheetFormatPr defaultRowHeight="15"/>
  <cols>
    <col min="1" max="1" width="35.7109375" style="180" bestFit="1" customWidth="1"/>
    <col min="2" max="2" width="20.5703125" bestFit="1" customWidth="1"/>
    <col min="3" max="3" width="19.28515625" bestFit="1" customWidth="1"/>
    <col min="4" max="4" width="15" bestFit="1" customWidth="1"/>
    <col min="5" max="5" width="14.5703125" bestFit="1" customWidth="1"/>
    <col min="7" max="7" width="43.28515625" bestFit="1" customWidth="1"/>
    <col min="8" max="8" width="11.42578125" customWidth="1"/>
    <col min="9" max="9" width="10.42578125" bestFit="1" customWidth="1"/>
  </cols>
  <sheetData>
    <row r="1" spans="1:9">
      <c r="A1" s="180" t="s">
        <v>1337</v>
      </c>
      <c r="B1" s="168" t="s">
        <v>102</v>
      </c>
      <c r="C1" s="479" cm="1">
        <f t="array" ref="C1">_xlfn.IFS(B1="cardinal",0,B1="Prismatic",7,B1="","")</f>
        <v>0</v>
      </c>
    </row>
    <row r="2" spans="1:9">
      <c r="A2" s="180" t="s">
        <v>1338</v>
      </c>
      <c r="B2" s="477">
        <f ca="1">TODAY()</f>
        <v>46225</v>
      </c>
    </row>
    <row r="3" spans="1:9">
      <c r="A3" s="180" t="s">
        <v>1339</v>
      </c>
      <c r="B3" s="477">
        <f ca="1">TODAY()</f>
        <v>46225</v>
      </c>
    </row>
    <row r="4" spans="1:9">
      <c r="B4" s="61"/>
    </row>
    <row r="5" spans="1:9">
      <c r="A5" s="476"/>
      <c r="B5" s="122" t="s">
        <v>1340</v>
      </c>
      <c r="C5" s="130" t="s">
        <v>1341</v>
      </c>
      <c r="D5" s="122" t="s">
        <v>1342</v>
      </c>
      <c r="E5" s="122" t="s">
        <v>1343</v>
      </c>
      <c r="G5" s="806" t="s">
        <v>1344</v>
      </c>
      <c r="H5" s="806"/>
      <c r="I5" s="806"/>
    </row>
    <row r="6" spans="1:9">
      <c r="A6" s="180" t="s">
        <v>1345</v>
      </c>
      <c r="B6" s="478">
        <f ca="1">$B$2</f>
        <v>46225</v>
      </c>
      <c r="C6" s="478">
        <f t="shared" ref="C6:E6" ca="1" si="0">$B$2</f>
        <v>46225</v>
      </c>
      <c r="D6" s="478">
        <f t="shared" ca="1" si="0"/>
        <v>46225</v>
      </c>
      <c r="E6" s="478">
        <f t="shared" ca="1" si="0"/>
        <v>46225</v>
      </c>
    </row>
    <row r="7" spans="1:9">
      <c r="A7" s="180" t="s">
        <v>1346</v>
      </c>
      <c r="B7" s="478">
        <f ca="1">$B$3</f>
        <v>46225</v>
      </c>
      <c r="C7" s="478">
        <f t="shared" ref="C7:E7" ca="1" si="1">$B$3</f>
        <v>46225</v>
      </c>
      <c r="D7" s="478">
        <f t="shared" ca="1" si="1"/>
        <v>46225</v>
      </c>
      <c r="E7" s="478">
        <f t="shared" ca="1" si="1"/>
        <v>46225</v>
      </c>
      <c r="H7" s="806" t="s">
        <v>1347</v>
      </c>
      <c r="I7" s="806"/>
    </row>
    <row r="8" spans="1:9">
      <c r="B8" s="478"/>
      <c r="C8" s="1"/>
      <c r="D8" s="1"/>
      <c r="E8" s="1"/>
      <c r="G8" s="46" t="s">
        <v>1338</v>
      </c>
      <c r="H8" s="954">
        <f ca="1">B2</f>
        <v>46225</v>
      </c>
      <c r="I8" s="954"/>
    </row>
    <row r="9" spans="1:9">
      <c r="A9" s="180" t="s">
        <v>1348</v>
      </c>
      <c r="B9" s="478">
        <f ca="1">$B$7</f>
        <v>46225</v>
      </c>
      <c r="C9" s="478">
        <f ca="1">C7+3</f>
        <v>46228</v>
      </c>
      <c r="D9" s="478">
        <f t="shared" ref="D9:E9" ca="1" si="2">$B$7</f>
        <v>46225</v>
      </c>
      <c r="E9" s="478">
        <f t="shared" ca="1" si="2"/>
        <v>46225</v>
      </c>
      <c r="G9" s="46" t="s">
        <v>1346</v>
      </c>
      <c r="H9" s="954">
        <f ca="1">B3</f>
        <v>46225</v>
      </c>
      <c r="I9" s="954"/>
    </row>
    <row r="10" spans="1:9">
      <c r="A10" s="180" t="s">
        <v>1349</v>
      </c>
      <c r="B10" s="478">
        <f ca="1">B9+$C$1</f>
        <v>46225</v>
      </c>
      <c r="C10" s="478">
        <f ca="1">C9+$C$1</f>
        <v>46228</v>
      </c>
      <c r="D10" s="478">
        <f t="shared" ref="D10:E10" ca="1" si="3">D9+$C$1</f>
        <v>46225</v>
      </c>
      <c r="E10" s="478">
        <f t="shared" ca="1" si="3"/>
        <v>46225</v>
      </c>
    </row>
    <row r="11" spans="1:9">
      <c r="B11" s="1"/>
      <c r="C11" s="1"/>
      <c r="D11" s="1"/>
      <c r="E11" s="1"/>
      <c r="G11" s="122" t="s">
        <v>1350</v>
      </c>
      <c r="H11" s="806" t="s">
        <v>1351</v>
      </c>
      <c r="I11" s="806"/>
    </row>
    <row r="12" spans="1:9">
      <c r="A12" s="180" t="s">
        <v>1352</v>
      </c>
      <c r="B12" s="1"/>
      <c r="C12" s="1"/>
      <c r="D12" s="1"/>
      <c r="E12" s="1"/>
      <c r="G12" s="279" t="s">
        <v>1353</v>
      </c>
      <c r="H12" s="61">
        <f ca="1">H9+35</f>
        <v>46260</v>
      </c>
      <c r="I12" s="61">
        <f ca="1">H12+7</f>
        <v>46267</v>
      </c>
    </row>
    <row r="13" spans="1:9">
      <c r="A13" s="223" t="s">
        <v>1354</v>
      </c>
      <c r="B13" s="478">
        <f ca="1">B10+35</f>
        <v>46260</v>
      </c>
      <c r="C13" s="478">
        <f ca="1">C10+35</f>
        <v>46263</v>
      </c>
      <c r="D13" s="478">
        <f t="shared" ref="D13:E13" ca="1" si="4">D10+35</f>
        <v>46260</v>
      </c>
      <c r="E13" s="478">
        <f t="shared" ca="1" si="4"/>
        <v>46260</v>
      </c>
      <c r="G13" s="136" t="s">
        <v>1355</v>
      </c>
      <c r="H13" s="61">
        <f ca="1">H9+56</f>
        <v>46281</v>
      </c>
      <c r="I13" s="61">
        <f ca="1">H13+14</f>
        <v>46295</v>
      </c>
    </row>
    <row r="14" spans="1:9">
      <c r="A14" s="223" t="s">
        <v>1356</v>
      </c>
      <c r="B14" s="478">
        <f ca="1">B13+3</f>
        <v>46263</v>
      </c>
      <c r="C14" s="478">
        <f ca="1">C13+3</f>
        <v>46266</v>
      </c>
      <c r="D14" s="478">
        <f t="shared" ref="D14:E14" ca="1" si="5">D13+3</f>
        <v>46263</v>
      </c>
      <c r="E14" s="478">
        <f t="shared" ca="1" si="5"/>
        <v>46263</v>
      </c>
    </row>
    <row r="15" spans="1:9">
      <c r="A15" s="223"/>
      <c r="B15" s="1"/>
      <c r="C15" s="1"/>
      <c r="D15" s="1"/>
      <c r="E15" s="1"/>
      <c r="G15" s="953" t="s">
        <v>1357</v>
      </c>
      <c r="H15" s="953"/>
      <c r="I15" s="953"/>
    </row>
    <row r="16" spans="1:9">
      <c r="A16" s="223" t="s">
        <v>1358</v>
      </c>
      <c r="B16" s="478">
        <f ca="1">B9+63</f>
        <v>46288</v>
      </c>
      <c r="C16" s="478">
        <f ca="1">C9+63</f>
        <v>46291</v>
      </c>
      <c r="D16" s="478">
        <f t="shared" ref="D16:E16" ca="1" si="6">D9+63</f>
        <v>46288</v>
      </c>
      <c r="E16" s="478">
        <f t="shared" ca="1" si="6"/>
        <v>46288</v>
      </c>
      <c r="G16" s="953"/>
      <c r="H16" s="953"/>
      <c r="I16" s="953"/>
    </row>
    <row r="17" spans="1:9">
      <c r="A17" s="223" t="s">
        <v>1359</v>
      </c>
      <c r="B17" s="478">
        <f ca="1">B16+4</f>
        <v>46292</v>
      </c>
      <c r="C17" s="478">
        <f ca="1">C16+4</f>
        <v>46295</v>
      </c>
      <c r="D17" s="478">
        <f t="shared" ref="D17:E17" ca="1" si="7">D16+4</f>
        <v>46292</v>
      </c>
      <c r="E17" s="478">
        <f t="shared" ca="1" si="7"/>
        <v>46292</v>
      </c>
      <c r="G17" s="953"/>
      <c r="H17" s="953"/>
      <c r="I17" s="953"/>
    </row>
    <row r="18" spans="1:9">
      <c r="B18" s="1"/>
      <c r="C18" s="1"/>
      <c r="D18" s="1"/>
      <c r="E18" s="1"/>
    </row>
    <row r="19" spans="1:9">
      <c r="A19" s="180" t="s">
        <v>1360</v>
      </c>
      <c r="B19" s="1"/>
      <c r="C19" s="1"/>
      <c r="D19" s="1"/>
      <c r="E19" s="1"/>
    </row>
    <row r="20" spans="1:9">
      <c r="A20" s="223" t="s">
        <v>1361</v>
      </c>
      <c r="B20" s="478">
        <f ca="1">B14</f>
        <v>46263</v>
      </c>
      <c r="C20" s="478">
        <f t="shared" ref="C20:E20" ca="1" si="8">C14</f>
        <v>46266</v>
      </c>
      <c r="D20" s="478">
        <f t="shared" ca="1" si="8"/>
        <v>46263</v>
      </c>
      <c r="E20" s="478">
        <f t="shared" ca="1" si="8"/>
        <v>46263</v>
      </c>
    </row>
    <row r="21" spans="1:9">
      <c r="A21" s="223" t="s">
        <v>243</v>
      </c>
      <c r="B21" s="478">
        <f ca="1">B17</f>
        <v>46292</v>
      </c>
      <c r="C21" s="478">
        <f t="shared" ref="C21:E21" ca="1" si="9">C17</f>
        <v>46295</v>
      </c>
      <c r="D21" s="478">
        <f t="shared" ca="1" si="9"/>
        <v>46292</v>
      </c>
      <c r="E21" s="478">
        <f t="shared" ca="1" si="9"/>
        <v>46292</v>
      </c>
    </row>
    <row r="23" spans="1:9">
      <c r="A23" s="180" t="s">
        <v>1362</v>
      </c>
    </row>
    <row r="24" spans="1:9">
      <c r="A24" s="223" t="s">
        <v>1361</v>
      </c>
      <c r="B24" s="1">
        <f ca="1">B20-B6</f>
        <v>38</v>
      </c>
      <c r="C24" s="1">
        <f t="shared" ref="C24:E24" ca="1" si="10">C20-C6</f>
        <v>41</v>
      </c>
      <c r="D24" s="1">
        <f t="shared" ca="1" si="10"/>
        <v>38</v>
      </c>
      <c r="E24" s="1">
        <f t="shared" ca="1" si="10"/>
        <v>38</v>
      </c>
    </row>
    <row r="25" spans="1:9">
      <c r="A25" s="223" t="s">
        <v>1363</v>
      </c>
      <c r="B25" s="1">
        <f ca="1">B21-B7</f>
        <v>67</v>
      </c>
      <c r="C25" s="1">
        <f t="shared" ref="C25:E25" ca="1" si="11">C21-C7</f>
        <v>70</v>
      </c>
      <c r="D25" s="1">
        <f t="shared" ca="1" si="11"/>
        <v>67</v>
      </c>
      <c r="E25" s="1">
        <f t="shared" ca="1" si="11"/>
        <v>67</v>
      </c>
    </row>
  </sheetData>
  <mergeCells count="6">
    <mergeCell ref="G5:I5"/>
    <mergeCell ref="G15:I17"/>
    <mergeCell ref="H7:I7"/>
    <mergeCell ref="H8:I8"/>
    <mergeCell ref="H9:I9"/>
    <mergeCell ref="H11:I11"/>
  </mergeCells>
  <dataValidations count="1">
    <dataValidation type="list" allowBlank="1" showInputMessage="1" showErrorMessage="1" sqref="B1" xr:uid="{C1A12918-976C-4322-BA34-7B920BD46B5E}">
      <formula1>"Cardinal, Prismatic"</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CF49-40DF-474B-A4D3-4B2B3B0F60B8}">
  <dimension ref="A1"/>
  <sheetViews>
    <sheetView workbookViewId="0">
      <selection activeCell="AB38" sqref="AB38"/>
    </sheetView>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673C-8D0A-4439-98AE-6C1C4D1A48CA}">
  <dimension ref="A1:V56"/>
  <sheetViews>
    <sheetView topLeftCell="A26" workbookViewId="0">
      <selection activeCell="V33" sqref="V33"/>
    </sheetView>
  </sheetViews>
  <sheetFormatPr defaultRowHeight="15" customHeight="1"/>
  <cols>
    <col min="1" max="1" width="23.42578125" bestFit="1" customWidth="1"/>
    <col min="2" max="2" width="15.140625" customWidth="1"/>
    <col min="3" max="3" width="16" bestFit="1" customWidth="1"/>
    <col min="4" max="4" width="7.140625" bestFit="1" customWidth="1"/>
    <col min="5" max="5" width="10.85546875" customWidth="1"/>
    <col min="6" max="6" width="10.5703125" bestFit="1" customWidth="1"/>
    <col min="7" max="8" width="13.42578125" bestFit="1" customWidth="1"/>
    <col min="9" max="9" width="12.28515625" bestFit="1" customWidth="1"/>
    <col min="10" max="10" width="23.42578125" bestFit="1" customWidth="1"/>
    <col min="11" max="11" width="16.85546875" bestFit="1" customWidth="1"/>
    <col min="12" max="12" width="14.28515625" style="1" bestFit="1" customWidth="1"/>
    <col min="13" max="13" width="14.85546875" style="1" bestFit="1" customWidth="1"/>
    <col min="14" max="14" width="9.85546875" style="1" bestFit="1" customWidth="1"/>
    <col min="15" max="15" width="10.5703125" style="1" bestFit="1" customWidth="1"/>
    <col min="16" max="16" width="12.7109375" customWidth="1"/>
    <col min="17" max="17" width="11.85546875" customWidth="1"/>
  </cols>
  <sheetData>
    <row r="1" spans="1:16">
      <c r="A1" s="955" t="s">
        <v>1364</v>
      </c>
      <c r="B1" s="955"/>
      <c r="C1" s="955"/>
      <c r="D1" s="955"/>
      <c r="E1" s="955"/>
      <c r="F1" s="955"/>
      <c r="G1" s="955"/>
      <c r="H1" s="955"/>
      <c r="I1" s="955"/>
      <c r="J1" s="955"/>
      <c r="K1" s="668"/>
      <c r="L1" s="668"/>
      <c r="M1" s="668"/>
      <c r="N1" s="668"/>
      <c r="O1" s="668"/>
      <c r="P1" s="668"/>
    </row>
    <row r="2" spans="1:16" s="587" customFormat="1">
      <c r="A2" s="279" t="s">
        <v>1365</v>
      </c>
      <c r="B2" s="279"/>
      <c r="C2" s="131">
        <f>B18+2</f>
        <v>13.78</v>
      </c>
      <c r="D2"/>
      <c r="E2"/>
      <c r="F2"/>
      <c r="G2"/>
      <c r="H2"/>
      <c r="I2"/>
      <c r="J2"/>
      <c r="K2"/>
      <c r="L2" s="1"/>
      <c r="M2" s="1"/>
      <c r="N2" s="1"/>
      <c r="O2" s="1"/>
      <c r="P2"/>
    </row>
    <row r="3" spans="1:16">
      <c r="A3" s="46" t="s">
        <v>1366</v>
      </c>
      <c r="B3" s="46"/>
      <c r="C3" s="131">
        <f>C2*H3</f>
        <v>20.669999999999998</v>
      </c>
      <c r="F3" t="s">
        <v>326</v>
      </c>
      <c r="H3" s="628">
        <v>1.5</v>
      </c>
    </row>
    <row r="4" spans="1:16"/>
    <row r="5" spans="1:16">
      <c r="A5" s="806" t="s">
        <v>1367</v>
      </c>
      <c r="B5" s="806"/>
      <c r="C5" s="806"/>
      <c r="D5" s="806"/>
      <c r="E5" s="806"/>
      <c r="F5" s="806"/>
      <c r="G5" s="806"/>
      <c r="H5" s="806"/>
      <c r="I5" s="806"/>
      <c r="J5" s="806"/>
      <c r="K5" s="48"/>
      <c r="L5" s="48"/>
      <c r="M5" s="48"/>
      <c r="N5" s="48"/>
      <c r="O5" s="48"/>
      <c r="P5" s="48"/>
    </row>
    <row r="6" spans="1:16">
      <c r="A6" s="130" t="s">
        <v>1368</v>
      </c>
      <c r="B6" s="130"/>
      <c r="C6" s="130" t="s">
        <v>1369</v>
      </c>
      <c r="D6" s="130" t="s">
        <v>1370</v>
      </c>
      <c r="E6" s="130"/>
      <c r="F6" s="130" t="s">
        <v>1371</v>
      </c>
      <c r="G6" s="130"/>
      <c r="H6" s="130" t="s">
        <v>1372</v>
      </c>
      <c r="I6" s="130" t="s">
        <v>1373</v>
      </c>
      <c r="J6" s="130" t="s">
        <v>356</v>
      </c>
      <c r="K6" s="48"/>
      <c r="L6" s="48"/>
      <c r="M6" s="48"/>
      <c r="N6" s="48"/>
      <c r="O6" s="48"/>
      <c r="P6" s="48"/>
    </row>
    <row r="7" spans="1:16">
      <c r="A7">
        <v>1</v>
      </c>
      <c r="C7" s="50">
        <v>6</v>
      </c>
      <c r="D7" s="50">
        <v>16</v>
      </c>
      <c r="E7" s="50"/>
      <c r="F7" s="121">
        <f>C7*D7</f>
        <v>96</v>
      </c>
      <c r="G7" s="121"/>
      <c r="H7" s="131">
        <f>F7*$C$2</f>
        <v>1322.8799999999999</v>
      </c>
      <c r="I7" s="131">
        <f>F7*$C$3</f>
        <v>1984.3199999999997</v>
      </c>
      <c r="J7" s="131">
        <f>I7-H7</f>
        <v>661.43999999999983</v>
      </c>
      <c r="K7" s="131"/>
      <c r="L7" s="767"/>
      <c r="M7" s="767"/>
      <c r="N7" s="767"/>
      <c r="O7" s="767"/>
      <c r="P7" s="131"/>
    </row>
    <row r="8" spans="1:16">
      <c r="A8">
        <v>2</v>
      </c>
      <c r="C8" s="50">
        <v>3</v>
      </c>
      <c r="D8" s="50">
        <v>12</v>
      </c>
      <c r="E8" s="50"/>
      <c r="F8" s="121">
        <f t="shared" ref="F8:F11" si="0">C8*D8</f>
        <v>36</v>
      </c>
      <c r="G8" s="121"/>
      <c r="H8" s="131">
        <f t="shared" ref="H8:H14" si="1">F8*$C$2</f>
        <v>496.08</v>
      </c>
      <c r="I8" s="131">
        <f t="shared" ref="I8:I11" si="2">F8*$C$3</f>
        <v>744.11999999999989</v>
      </c>
      <c r="J8" s="131">
        <f t="shared" ref="J8:J11" si="3">I8-H8</f>
        <v>248.03999999999991</v>
      </c>
      <c r="K8" s="131"/>
      <c r="L8" s="767"/>
      <c r="M8" s="767"/>
      <c r="N8" s="767"/>
      <c r="O8" s="767"/>
      <c r="P8" s="131"/>
    </row>
    <row r="9" spans="1:16">
      <c r="A9">
        <f>A8+1</f>
        <v>3</v>
      </c>
      <c r="C9" s="50">
        <v>3</v>
      </c>
      <c r="D9" s="50">
        <v>12</v>
      </c>
      <c r="E9" s="50"/>
      <c r="F9" s="121">
        <f t="shared" si="0"/>
        <v>36</v>
      </c>
      <c r="G9" s="121"/>
      <c r="H9" s="131">
        <f t="shared" si="1"/>
        <v>496.08</v>
      </c>
      <c r="I9" s="131">
        <f t="shared" si="2"/>
        <v>744.11999999999989</v>
      </c>
      <c r="J9" s="131">
        <f t="shared" si="3"/>
        <v>248.03999999999991</v>
      </c>
      <c r="K9" s="131"/>
      <c r="L9" s="767"/>
      <c r="M9" s="767"/>
      <c r="N9" s="767"/>
      <c r="O9" s="767"/>
      <c r="P9" s="131"/>
    </row>
    <row r="10" spans="1:16">
      <c r="A10">
        <f t="shared" ref="A10:A14" si="4">A9+1</f>
        <v>4</v>
      </c>
      <c r="C10" s="50"/>
      <c r="D10" s="50"/>
      <c r="E10" s="50"/>
      <c r="F10" s="121">
        <f t="shared" si="0"/>
        <v>0</v>
      </c>
      <c r="G10" s="121"/>
      <c r="H10" s="131">
        <f t="shared" si="1"/>
        <v>0</v>
      </c>
      <c r="I10" s="131">
        <f t="shared" si="2"/>
        <v>0</v>
      </c>
      <c r="J10" s="131">
        <f t="shared" si="3"/>
        <v>0</v>
      </c>
      <c r="K10" s="131"/>
      <c r="L10" s="767"/>
      <c r="M10" s="767"/>
      <c r="N10" s="767"/>
      <c r="O10" s="767"/>
      <c r="P10" s="131"/>
    </row>
    <row r="11" spans="1:16">
      <c r="A11">
        <f t="shared" si="4"/>
        <v>5</v>
      </c>
      <c r="C11" s="50"/>
      <c r="D11" s="50"/>
      <c r="E11" s="50"/>
      <c r="F11" s="121">
        <f t="shared" si="0"/>
        <v>0</v>
      </c>
      <c r="G11" s="121"/>
      <c r="H11" s="131">
        <f t="shared" si="1"/>
        <v>0</v>
      </c>
      <c r="I11" s="131">
        <f t="shared" si="2"/>
        <v>0</v>
      </c>
      <c r="J11" s="131">
        <f t="shared" si="3"/>
        <v>0</v>
      </c>
      <c r="K11" s="131"/>
      <c r="L11" s="767"/>
      <c r="M11" s="767"/>
      <c r="N11" s="767"/>
      <c r="O11" s="767"/>
      <c r="P11" s="131"/>
    </row>
    <row r="12" spans="1:16">
      <c r="A12">
        <f t="shared" si="4"/>
        <v>6</v>
      </c>
      <c r="C12" s="50"/>
      <c r="D12" s="50"/>
      <c r="E12" s="50"/>
      <c r="F12" s="121">
        <f t="shared" ref="F12:F14" si="5">C12*D12</f>
        <v>0</v>
      </c>
      <c r="G12" s="121"/>
      <c r="H12" s="131">
        <f t="shared" si="1"/>
        <v>0</v>
      </c>
      <c r="I12" s="131">
        <f t="shared" ref="I12:I14" si="6">F12*$C$3</f>
        <v>0</v>
      </c>
      <c r="J12" s="131">
        <f t="shared" ref="J12:J14" si="7">I12-H12</f>
        <v>0</v>
      </c>
      <c r="K12" s="131"/>
      <c r="L12" s="767"/>
      <c r="M12" s="767"/>
      <c r="N12" s="767"/>
      <c r="O12" s="767"/>
      <c r="P12" s="131"/>
    </row>
    <row r="13" spans="1:16">
      <c r="A13">
        <f t="shared" si="4"/>
        <v>7</v>
      </c>
      <c r="C13" s="50"/>
      <c r="D13" s="50"/>
      <c r="E13" s="50"/>
      <c r="F13" s="121">
        <f t="shared" si="5"/>
        <v>0</v>
      </c>
      <c r="G13" s="121"/>
      <c r="H13" s="131">
        <f t="shared" si="1"/>
        <v>0</v>
      </c>
      <c r="I13" s="131">
        <f t="shared" si="6"/>
        <v>0</v>
      </c>
      <c r="J13" s="131">
        <f t="shared" si="7"/>
        <v>0</v>
      </c>
      <c r="K13" s="131"/>
      <c r="L13" s="767"/>
      <c r="M13" s="767"/>
      <c r="N13" s="767"/>
      <c r="O13" s="767"/>
      <c r="P13" s="131"/>
    </row>
    <row r="14" spans="1:16">
      <c r="A14">
        <f t="shared" si="4"/>
        <v>8</v>
      </c>
      <c r="C14" s="50"/>
      <c r="D14" s="50"/>
      <c r="E14" s="50"/>
      <c r="F14" s="272">
        <f t="shared" si="5"/>
        <v>0</v>
      </c>
      <c r="G14" s="272"/>
      <c r="H14" s="273">
        <f t="shared" si="1"/>
        <v>0</v>
      </c>
      <c r="I14" s="273">
        <f t="shared" si="6"/>
        <v>0</v>
      </c>
      <c r="J14" s="273">
        <f t="shared" si="7"/>
        <v>0</v>
      </c>
      <c r="K14" s="131"/>
      <c r="L14" s="767"/>
      <c r="M14" s="767"/>
      <c r="N14" s="767"/>
      <c r="O14" s="767"/>
      <c r="P14" s="131"/>
    </row>
    <row r="15" spans="1:16">
      <c r="A15" t="s">
        <v>1374</v>
      </c>
      <c r="F15" s="121">
        <f>SUM(F7:F14)</f>
        <v>168</v>
      </c>
      <c r="G15" s="121"/>
      <c r="H15" s="131">
        <f>SUM(H7:H14)</f>
        <v>2315.04</v>
      </c>
      <c r="I15" s="131">
        <f>SUM(I7:I14)</f>
        <v>3472.5599999999995</v>
      </c>
      <c r="J15" s="131">
        <f>SUM(J7:J14)</f>
        <v>1157.5199999999998</v>
      </c>
      <c r="K15" s="131"/>
      <c r="L15" s="767"/>
      <c r="M15" s="767"/>
      <c r="N15" s="767"/>
      <c r="O15" s="767"/>
      <c r="P15" s="131"/>
    </row>
    <row r="17" spans="1:22" ht="15" customHeight="1">
      <c r="A17" s="130" t="s">
        <v>1375</v>
      </c>
      <c r="B17" s="130" t="s">
        <v>1376</v>
      </c>
      <c r="C17" s="130" t="s">
        <v>1377</v>
      </c>
    </row>
    <row r="18" spans="1:22">
      <c r="A18" s="788">
        <v>3.25</v>
      </c>
      <c r="B18" s="131">
        <v>11.78</v>
      </c>
      <c r="C18" s="121">
        <v>1.3</v>
      </c>
    </row>
    <row r="19" spans="1:22">
      <c r="A19" s="788">
        <v>2</v>
      </c>
      <c r="B19" s="131">
        <v>7.65</v>
      </c>
      <c r="C19" s="121">
        <v>0.75</v>
      </c>
    </row>
    <row r="20" spans="1:22">
      <c r="A20" s="46"/>
      <c r="B20" s="588"/>
    </row>
    <row r="21" spans="1:22" s="1" customFormat="1">
      <c r="A21" s="130" t="s">
        <v>955</v>
      </c>
      <c r="B21" s="130" t="s">
        <v>1378</v>
      </c>
      <c r="C21" s="130" t="s">
        <v>1369</v>
      </c>
      <c r="D21" s="130" t="s">
        <v>1370</v>
      </c>
      <c r="E21" s="130" t="s">
        <v>1379</v>
      </c>
      <c r="F21" s="130" t="s">
        <v>1313</v>
      </c>
      <c r="G21" s="130" t="s">
        <v>1380</v>
      </c>
      <c r="H21" s="130" t="s">
        <v>1372</v>
      </c>
      <c r="I21" s="130" t="s">
        <v>1373</v>
      </c>
      <c r="J21" s="130" t="s">
        <v>1381</v>
      </c>
      <c r="L21" s="130" t="s">
        <v>1310</v>
      </c>
      <c r="M21" s="130" t="s">
        <v>1311</v>
      </c>
      <c r="N21" s="130" t="s">
        <v>1382</v>
      </c>
      <c r="O21" s="130" t="s">
        <v>1313</v>
      </c>
    </row>
    <row r="22" spans="1:22">
      <c r="A22" s="144" t="s">
        <v>323</v>
      </c>
      <c r="C22" s="1">
        <v>8</v>
      </c>
      <c r="D22" s="1">
        <v>8</v>
      </c>
      <c r="E22" s="1">
        <v>3.25</v>
      </c>
      <c r="F22" s="121">
        <f>O22</f>
        <v>84.027777777777771</v>
      </c>
      <c r="G22" s="131">
        <f>VLOOKUP(E22,$A$18:$B$19,2,FALSE)</f>
        <v>11.78</v>
      </c>
      <c r="H22" s="51">
        <f>ROUND(F22*G22,2)</f>
        <v>989.85</v>
      </c>
      <c r="I22" s="773">
        <f>ROUND(H22*1.4,2)</f>
        <v>1385.79</v>
      </c>
      <c r="J22" s="789">
        <f>IF(E22=3.25,ROUND(F22*$C$18,0),ROUND(F22*$C$19,0))</f>
        <v>109</v>
      </c>
      <c r="K22" s="789"/>
      <c r="L22" s="1">
        <f>(C22*12)+14</f>
        <v>110</v>
      </c>
      <c r="M22" s="1">
        <f>(D22*12)+14</f>
        <v>110</v>
      </c>
      <c r="N22" s="1">
        <f>L22*M22</f>
        <v>12100</v>
      </c>
      <c r="O22" s="786">
        <f>N22/144</f>
        <v>84.027777777777771</v>
      </c>
    </row>
    <row r="23" spans="1:22">
      <c r="A23" s="144" t="s">
        <v>318</v>
      </c>
      <c r="C23" s="1">
        <v>8</v>
      </c>
      <c r="D23" s="1">
        <v>6</v>
      </c>
      <c r="E23" s="1">
        <v>3.25</v>
      </c>
      <c r="F23" s="121">
        <f t="shared" ref="F23:F35" si="8">O23</f>
        <v>65.694444444444443</v>
      </c>
      <c r="G23" s="131">
        <f t="shared" ref="G23:G35" si="9">VLOOKUP(E23,$A$18:$B$19,2,FALSE)</f>
        <v>11.78</v>
      </c>
      <c r="H23" s="51">
        <f t="shared" ref="H23:H35" si="10">ROUND(F23*G23,2)</f>
        <v>773.88</v>
      </c>
      <c r="I23" s="773">
        <f t="shared" ref="I23:I56" si="11">ROUND(H23*1.4,2)</f>
        <v>1083.43</v>
      </c>
      <c r="J23" s="789">
        <f t="shared" ref="J23:J49" si="12">IF(E23=3.25,ROUND(F23*$C$18,0),ROUND(F23*$C$19,0))</f>
        <v>85</v>
      </c>
      <c r="K23" s="789"/>
      <c r="L23" s="1">
        <f t="shared" ref="L23:L33" si="13">(C23*12)+14</f>
        <v>110</v>
      </c>
      <c r="M23" s="1">
        <f t="shared" ref="M23:M33" si="14">(D23*12)+14</f>
        <v>86</v>
      </c>
      <c r="N23" s="1">
        <f t="shared" ref="N23:N33" si="15">L23*M23</f>
        <v>9460</v>
      </c>
      <c r="O23" s="786">
        <f t="shared" ref="O23:O35" si="16">N23/144</f>
        <v>65.694444444444443</v>
      </c>
    </row>
    <row r="24" spans="1:22">
      <c r="A24" s="144" t="s">
        <v>324</v>
      </c>
      <c r="B24" t="s">
        <v>49</v>
      </c>
      <c r="C24" s="1">
        <v>9</v>
      </c>
      <c r="D24" s="1">
        <v>9</v>
      </c>
      <c r="E24" s="1">
        <v>3.25</v>
      </c>
      <c r="F24" s="121">
        <f t="shared" si="8"/>
        <v>103.36111111111111</v>
      </c>
      <c r="G24" s="131">
        <f t="shared" si="9"/>
        <v>11.78</v>
      </c>
      <c r="H24" s="51">
        <f t="shared" si="10"/>
        <v>1217.5899999999999</v>
      </c>
      <c r="I24" s="773">
        <f t="shared" si="11"/>
        <v>1704.63</v>
      </c>
      <c r="J24" s="789">
        <f t="shared" si="12"/>
        <v>134</v>
      </c>
      <c r="K24" s="789"/>
      <c r="L24" s="1">
        <f t="shared" si="13"/>
        <v>122</v>
      </c>
      <c r="M24" s="1">
        <f t="shared" si="14"/>
        <v>122</v>
      </c>
      <c r="N24" s="1">
        <f t="shared" si="15"/>
        <v>14884</v>
      </c>
      <c r="O24" s="786">
        <f t="shared" si="16"/>
        <v>103.36111111111111</v>
      </c>
    </row>
    <row r="25" spans="1:22">
      <c r="A25" s="144" t="s">
        <v>321</v>
      </c>
      <c r="C25" s="1">
        <v>9</v>
      </c>
      <c r="D25" s="1">
        <v>8</v>
      </c>
      <c r="E25" s="1">
        <v>3.25</v>
      </c>
      <c r="F25" s="121">
        <f t="shared" si="8"/>
        <v>93.194444444444443</v>
      </c>
      <c r="G25" s="131">
        <f t="shared" si="9"/>
        <v>11.78</v>
      </c>
      <c r="H25" s="51">
        <f t="shared" si="10"/>
        <v>1097.83</v>
      </c>
      <c r="I25" s="773">
        <f t="shared" si="11"/>
        <v>1536.96</v>
      </c>
      <c r="J25" s="789">
        <f t="shared" si="12"/>
        <v>121</v>
      </c>
      <c r="K25" s="789"/>
      <c r="L25" s="1">
        <f t="shared" si="13"/>
        <v>122</v>
      </c>
      <c r="M25" s="1">
        <f t="shared" si="14"/>
        <v>110</v>
      </c>
      <c r="N25" s="1">
        <f t="shared" si="15"/>
        <v>13420</v>
      </c>
      <c r="O25" s="786">
        <f t="shared" si="16"/>
        <v>93.194444444444443</v>
      </c>
    </row>
    <row r="26" spans="1:22">
      <c r="A26" s="144" t="s">
        <v>319</v>
      </c>
      <c r="C26" s="1">
        <v>9</v>
      </c>
      <c r="D26" s="1">
        <v>7</v>
      </c>
      <c r="E26" s="1">
        <v>3.25</v>
      </c>
      <c r="F26" s="121">
        <f t="shared" si="8"/>
        <v>83.027777777777771</v>
      </c>
      <c r="G26" s="131">
        <f t="shared" si="9"/>
        <v>11.78</v>
      </c>
      <c r="H26" s="51">
        <f t="shared" si="10"/>
        <v>978.07</v>
      </c>
      <c r="I26" s="773">
        <f t="shared" si="11"/>
        <v>1369.3</v>
      </c>
      <c r="J26" s="789">
        <f t="shared" si="12"/>
        <v>108</v>
      </c>
      <c r="K26" s="789"/>
      <c r="L26" s="1">
        <f t="shared" si="13"/>
        <v>122</v>
      </c>
      <c r="M26" s="1">
        <f t="shared" si="14"/>
        <v>98</v>
      </c>
      <c r="N26" s="1">
        <f t="shared" si="15"/>
        <v>11956</v>
      </c>
      <c r="O26" s="786">
        <f t="shared" si="16"/>
        <v>83.027777777777771</v>
      </c>
    </row>
    <row r="27" spans="1:22">
      <c r="A27" s="144" t="s">
        <v>322</v>
      </c>
      <c r="C27" s="1">
        <v>10</v>
      </c>
      <c r="D27" s="1">
        <v>10</v>
      </c>
      <c r="E27" s="1">
        <v>3.25</v>
      </c>
      <c r="F27" s="121">
        <f t="shared" si="8"/>
        <v>124.69444444444444</v>
      </c>
      <c r="G27" s="131">
        <f t="shared" si="9"/>
        <v>11.78</v>
      </c>
      <c r="H27" s="51">
        <f t="shared" si="10"/>
        <v>1468.9</v>
      </c>
      <c r="I27" s="773">
        <f t="shared" si="11"/>
        <v>2056.46</v>
      </c>
      <c r="J27" s="789">
        <f t="shared" si="12"/>
        <v>162</v>
      </c>
      <c r="K27" s="789"/>
      <c r="L27" s="1">
        <f t="shared" si="13"/>
        <v>134</v>
      </c>
      <c r="M27" s="1">
        <f t="shared" si="14"/>
        <v>134</v>
      </c>
      <c r="N27" s="1">
        <f t="shared" si="15"/>
        <v>17956</v>
      </c>
      <c r="O27" s="786">
        <f t="shared" si="16"/>
        <v>124.69444444444444</v>
      </c>
      <c r="T27" s="121">
        <f>O27</f>
        <v>124.69444444444444</v>
      </c>
      <c r="U27">
        <v>1740</v>
      </c>
      <c r="V27" s="121">
        <f>U27/T27</f>
        <v>13.95411004678102</v>
      </c>
    </row>
    <row r="28" spans="1:22">
      <c r="A28" s="144" t="s">
        <v>310</v>
      </c>
      <c r="C28" s="1">
        <v>10</v>
      </c>
      <c r="D28" s="1">
        <v>9</v>
      </c>
      <c r="E28" s="1">
        <v>3.25</v>
      </c>
      <c r="F28" s="121">
        <f t="shared" si="8"/>
        <v>113.52777777777777</v>
      </c>
      <c r="G28" s="131">
        <f t="shared" si="9"/>
        <v>11.78</v>
      </c>
      <c r="H28" s="51">
        <f t="shared" si="10"/>
        <v>1337.36</v>
      </c>
      <c r="I28" s="773">
        <f t="shared" si="11"/>
        <v>1872.3</v>
      </c>
      <c r="J28" s="789">
        <f t="shared" si="12"/>
        <v>148</v>
      </c>
      <c r="K28" s="789"/>
      <c r="L28" s="1">
        <f t="shared" si="13"/>
        <v>134</v>
      </c>
      <c r="M28" s="1">
        <f t="shared" si="14"/>
        <v>122</v>
      </c>
      <c r="N28" s="1">
        <f t="shared" si="15"/>
        <v>16348</v>
      </c>
      <c r="O28" s="786">
        <f t="shared" si="16"/>
        <v>113.52777777777777</v>
      </c>
    </row>
    <row r="29" spans="1:22">
      <c r="A29" s="144" t="s">
        <v>308</v>
      </c>
      <c r="C29" s="1">
        <v>10</v>
      </c>
      <c r="D29" s="1">
        <v>8</v>
      </c>
      <c r="E29" s="1">
        <v>3.25</v>
      </c>
      <c r="F29" s="121">
        <f t="shared" si="8"/>
        <v>102.36111111111111</v>
      </c>
      <c r="G29" s="131">
        <f t="shared" si="9"/>
        <v>11.78</v>
      </c>
      <c r="H29" s="51">
        <f t="shared" si="10"/>
        <v>1205.81</v>
      </c>
      <c r="I29" s="773">
        <f t="shared" si="11"/>
        <v>1688.13</v>
      </c>
      <c r="J29" s="789">
        <f t="shared" si="12"/>
        <v>133</v>
      </c>
      <c r="K29" s="789"/>
      <c r="L29" s="1">
        <f t="shared" si="13"/>
        <v>134</v>
      </c>
      <c r="M29" s="1">
        <f t="shared" si="14"/>
        <v>110</v>
      </c>
      <c r="N29" s="1">
        <f t="shared" si="15"/>
        <v>14740</v>
      </c>
      <c r="O29" s="786">
        <f t="shared" si="16"/>
        <v>102.36111111111111</v>
      </c>
    </row>
    <row r="30" spans="1:22">
      <c r="A30" s="144" t="s">
        <v>307</v>
      </c>
      <c r="C30" s="1">
        <v>10</v>
      </c>
      <c r="D30" s="1">
        <v>7</v>
      </c>
      <c r="E30" s="1">
        <v>3.25</v>
      </c>
      <c r="F30" s="121">
        <f t="shared" si="8"/>
        <v>91.194444444444443</v>
      </c>
      <c r="G30" s="131">
        <f t="shared" si="9"/>
        <v>11.78</v>
      </c>
      <c r="H30" s="51">
        <f t="shared" si="10"/>
        <v>1074.27</v>
      </c>
      <c r="I30" s="773">
        <f t="shared" si="11"/>
        <v>1503.98</v>
      </c>
      <c r="J30" s="789">
        <f t="shared" si="12"/>
        <v>119</v>
      </c>
      <c r="K30" s="789"/>
      <c r="L30" s="1">
        <f t="shared" si="13"/>
        <v>134</v>
      </c>
      <c r="M30" s="1">
        <f t="shared" si="14"/>
        <v>98</v>
      </c>
      <c r="N30" s="1">
        <f t="shared" si="15"/>
        <v>13132</v>
      </c>
      <c r="O30" s="786">
        <f t="shared" si="16"/>
        <v>91.194444444444443</v>
      </c>
    </row>
    <row r="31" spans="1:22">
      <c r="A31" s="144" t="s">
        <v>305</v>
      </c>
      <c r="C31" s="1">
        <v>10</v>
      </c>
      <c r="D31" s="1">
        <v>6</v>
      </c>
      <c r="E31" s="1">
        <v>3.25</v>
      </c>
      <c r="F31" s="121">
        <f t="shared" si="8"/>
        <v>80.027777777777771</v>
      </c>
      <c r="G31" s="131">
        <f t="shared" si="9"/>
        <v>11.78</v>
      </c>
      <c r="H31" s="51">
        <f t="shared" si="10"/>
        <v>942.73</v>
      </c>
      <c r="I31" s="773">
        <f t="shared" si="11"/>
        <v>1319.82</v>
      </c>
      <c r="J31" s="789">
        <f t="shared" si="12"/>
        <v>104</v>
      </c>
      <c r="K31" s="789"/>
      <c r="L31" s="1">
        <f t="shared" ref="L31:L32" si="17">(C31*12)+14</f>
        <v>134</v>
      </c>
      <c r="M31" s="1">
        <f t="shared" ref="M31:M32" si="18">(D31*12)+14</f>
        <v>86</v>
      </c>
      <c r="N31" s="1">
        <f t="shared" ref="N31:N32" si="19">L31*M31</f>
        <v>11524</v>
      </c>
      <c r="O31" s="786">
        <f t="shared" si="16"/>
        <v>80.027777777777771</v>
      </c>
    </row>
    <row r="32" spans="1:22">
      <c r="A32" s="144" t="s">
        <v>316</v>
      </c>
      <c r="C32" s="1">
        <v>20</v>
      </c>
      <c r="D32" s="1">
        <v>10</v>
      </c>
      <c r="E32" s="1">
        <v>3.25</v>
      </c>
      <c r="F32" s="121">
        <f t="shared" si="8"/>
        <v>236.36111111111111</v>
      </c>
      <c r="G32" s="131">
        <f t="shared" si="9"/>
        <v>11.78</v>
      </c>
      <c r="H32" s="51">
        <f t="shared" si="10"/>
        <v>2784.33</v>
      </c>
      <c r="I32" s="773">
        <f t="shared" si="11"/>
        <v>3898.06</v>
      </c>
      <c r="J32" s="789">
        <f t="shared" si="12"/>
        <v>307</v>
      </c>
      <c r="K32" s="789"/>
      <c r="L32" s="1">
        <f t="shared" si="17"/>
        <v>254</v>
      </c>
      <c r="M32" s="1">
        <f t="shared" si="18"/>
        <v>134</v>
      </c>
      <c r="N32" s="1">
        <f t="shared" si="19"/>
        <v>34036</v>
      </c>
      <c r="O32" s="786">
        <f t="shared" si="16"/>
        <v>236.36111111111111</v>
      </c>
      <c r="T32" s="121">
        <f>O32</f>
        <v>236.36111111111111</v>
      </c>
      <c r="U32">
        <v>3390</v>
      </c>
      <c r="V32" s="121">
        <f>U32/T32</f>
        <v>14.342460923727817</v>
      </c>
    </row>
    <row r="33" spans="1:15">
      <c r="A33" s="144" t="s">
        <v>315</v>
      </c>
      <c r="C33" s="1">
        <v>20</v>
      </c>
      <c r="D33" s="1">
        <v>8</v>
      </c>
      <c r="E33" s="1">
        <v>3.25</v>
      </c>
      <c r="F33" s="121">
        <f t="shared" si="8"/>
        <v>194.02777777777777</v>
      </c>
      <c r="G33" s="131">
        <f t="shared" si="9"/>
        <v>11.78</v>
      </c>
      <c r="H33" s="51">
        <f t="shared" si="10"/>
        <v>2285.65</v>
      </c>
      <c r="I33" s="773">
        <f t="shared" si="11"/>
        <v>3199.91</v>
      </c>
      <c r="J33" s="789">
        <f t="shared" si="12"/>
        <v>252</v>
      </c>
      <c r="K33" s="789"/>
      <c r="L33" s="1">
        <f t="shared" si="13"/>
        <v>254</v>
      </c>
      <c r="M33" s="1">
        <f t="shared" si="14"/>
        <v>110</v>
      </c>
      <c r="N33" s="1">
        <f t="shared" si="15"/>
        <v>27940</v>
      </c>
      <c r="O33" s="786">
        <f t="shared" si="16"/>
        <v>194.02777777777777</v>
      </c>
    </row>
    <row r="34" spans="1:15">
      <c r="A34" s="144" t="s">
        <v>312</v>
      </c>
      <c r="C34" s="1">
        <v>16</v>
      </c>
      <c r="D34" s="1">
        <v>10</v>
      </c>
      <c r="E34" s="1">
        <v>3.25</v>
      </c>
      <c r="F34" s="121">
        <f t="shared" si="8"/>
        <v>191.69444444444446</v>
      </c>
      <c r="G34" s="131">
        <f t="shared" si="9"/>
        <v>11.78</v>
      </c>
      <c r="H34" s="51">
        <f t="shared" si="10"/>
        <v>2258.16</v>
      </c>
      <c r="I34" s="773">
        <f t="shared" si="11"/>
        <v>3161.42</v>
      </c>
      <c r="J34" s="789">
        <f t="shared" si="12"/>
        <v>249</v>
      </c>
      <c r="L34" s="1">
        <f t="shared" ref="L34:M36" si="20">(C34*12)+14</f>
        <v>206</v>
      </c>
      <c r="M34" s="1">
        <f t="shared" si="20"/>
        <v>134</v>
      </c>
      <c r="N34" s="1">
        <f t="shared" ref="N34:N35" si="21">L34*M34</f>
        <v>27604</v>
      </c>
      <c r="O34" s="786">
        <f t="shared" si="16"/>
        <v>191.69444444444446</v>
      </c>
    </row>
    <row r="35" spans="1:15">
      <c r="A35" t="s">
        <v>314</v>
      </c>
      <c r="C35" s="1">
        <v>20</v>
      </c>
      <c r="D35" s="1">
        <v>7</v>
      </c>
      <c r="E35" s="1">
        <v>3.25</v>
      </c>
      <c r="F35" s="121">
        <f t="shared" si="8"/>
        <v>172.86111111111111</v>
      </c>
      <c r="G35" s="131">
        <f t="shared" si="9"/>
        <v>11.78</v>
      </c>
      <c r="H35" s="51">
        <f t="shared" si="10"/>
        <v>2036.3</v>
      </c>
      <c r="I35" s="773">
        <f t="shared" si="11"/>
        <v>2850.82</v>
      </c>
      <c r="J35" s="789">
        <f t="shared" si="12"/>
        <v>225</v>
      </c>
      <c r="L35" s="1">
        <f t="shared" si="20"/>
        <v>254</v>
      </c>
      <c r="M35" s="1">
        <f t="shared" si="20"/>
        <v>98</v>
      </c>
      <c r="N35" s="1">
        <f t="shared" si="21"/>
        <v>24892</v>
      </c>
      <c r="O35" s="786">
        <f t="shared" si="16"/>
        <v>172.86111111111111</v>
      </c>
    </row>
    <row r="36" spans="1:15">
      <c r="A36" s="144" t="s">
        <v>472</v>
      </c>
      <c r="C36" s="1">
        <v>8</v>
      </c>
      <c r="D36" s="1">
        <v>8</v>
      </c>
      <c r="E36" s="1">
        <v>2</v>
      </c>
      <c r="F36" s="121">
        <f>O36</f>
        <v>84.027777777777771</v>
      </c>
      <c r="G36" s="131">
        <f>VLOOKUP(E36,$A$18:$B$19,2,FALSE)</f>
        <v>7.65</v>
      </c>
      <c r="H36" s="51">
        <f>ROUND(F36*G36,2)</f>
        <v>642.80999999999995</v>
      </c>
      <c r="I36" s="773">
        <f>ROUND(H36*1.4,2)</f>
        <v>899.93</v>
      </c>
      <c r="J36" s="789">
        <f t="shared" si="12"/>
        <v>63</v>
      </c>
      <c r="L36" s="1">
        <f t="shared" si="20"/>
        <v>110</v>
      </c>
      <c r="M36" s="1">
        <f t="shared" si="20"/>
        <v>110</v>
      </c>
      <c r="N36" s="1">
        <f>L36*M36</f>
        <v>12100</v>
      </c>
      <c r="O36" s="786">
        <f>N36/144</f>
        <v>84.027777777777771</v>
      </c>
    </row>
    <row r="37" spans="1:15">
      <c r="A37" s="144" t="s">
        <v>474</v>
      </c>
      <c r="C37" s="1">
        <v>8</v>
      </c>
      <c r="D37" s="1">
        <v>6</v>
      </c>
      <c r="E37" s="1">
        <v>2</v>
      </c>
      <c r="F37" s="121">
        <f t="shared" ref="F37:F49" si="22">O37</f>
        <v>65.694444444444443</v>
      </c>
      <c r="G37" s="131">
        <f t="shared" ref="G37:G53" si="23">VLOOKUP(E37,$A$18:$B$19,2,FALSE)</f>
        <v>7.65</v>
      </c>
      <c r="H37" s="51">
        <f t="shared" ref="H37:H53" si="24">ROUND(F37*G37,2)</f>
        <v>502.56</v>
      </c>
      <c r="I37" s="773">
        <f t="shared" si="11"/>
        <v>703.58</v>
      </c>
      <c r="J37" s="789">
        <f t="shared" si="12"/>
        <v>49</v>
      </c>
      <c r="L37" s="1">
        <f t="shared" ref="L37:L47" si="25">(C37*12)+14</f>
        <v>110</v>
      </c>
      <c r="M37" s="1">
        <f t="shared" ref="M37:M47" si="26">(D37*12)+14</f>
        <v>86</v>
      </c>
      <c r="N37" s="1">
        <f t="shared" ref="N37:N49" si="27">L37*M37</f>
        <v>9460</v>
      </c>
      <c r="O37" s="786">
        <f t="shared" ref="O37:O49" si="28">N37/144</f>
        <v>65.694444444444443</v>
      </c>
    </row>
    <row r="38" spans="1:15">
      <c r="A38" s="144" t="s">
        <v>476</v>
      </c>
      <c r="C38" s="1">
        <v>9</v>
      </c>
      <c r="D38" s="1">
        <v>9</v>
      </c>
      <c r="E38" s="1">
        <v>2</v>
      </c>
      <c r="F38" s="121">
        <f t="shared" si="22"/>
        <v>103.36111111111111</v>
      </c>
      <c r="G38" s="131">
        <f t="shared" si="23"/>
        <v>7.65</v>
      </c>
      <c r="H38" s="51">
        <f t="shared" si="24"/>
        <v>790.71</v>
      </c>
      <c r="I38" s="773">
        <f t="shared" si="11"/>
        <v>1106.99</v>
      </c>
      <c r="J38" s="789">
        <f t="shared" si="12"/>
        <v>78</v>
      </c>
      <c r="L38" s="1">
        <f t="shared" si="25"/>
        <v>122</v>
      </c>
      <c r="M38" s="1">
        <f t="shared" si="26"/>
        <v>122</v>
      </c>
      <c r="N38" s="1">
        <f t="shared" si="27"/>
        <v>14884</v>
      </c>
      <c r="O38" s="786">
        <f t="shared" si="28"/>
        <v>103.36111111111111</v>
      </c>
    </row>
    <row r="39" spans="1:15">
      <c r="A39" s="144" t="s">
        <v>478</v>
      </c>
      <c r="C39" s="1">
        <v>9</v>
      </c>
      <c r="D39" s="1">
        <v>8</v>
      </c>
      <c r="E39" s="1">
        <v>2</v>
      </c>
      <c r="F39" s="121">
        <f t="shared" si="22"/>
        <v>93.194444444444443</v>
      </c>
      <c r="G39" s="131">
        <f t="shared" si="23"/>
        <v>7.65</v>
      </c>
      <c r="H39" s="51">
        <f t="shared" si="24"/>
        <v>712.94</v>
      </c>
      <c r="I39" s="773">
        <f t="shared" si="11"/>
        <v>998.12</v>
      </c>
      <c r="J39" s="789">
        <f t="shared" si="12"/>
        <v>70</v>
      </c>
      <c r="L39" s="1">
        <f t="shared" si="25"/>
        <v>122</v>
      </c>
      <c r="M39" s="1">
        <f t="shared" si="26"/>
        <v>110</v>
      </c>
      <c r="N39" s="1">
        <f t="shared" si="27"/>
        <v>13420</v>
      </c>
      <c r="O39" s="786">
        <f t="shared" si="28"/>
        <v>93.194444444444443</v>
      </c>
    </row>
    <row r="40" spans="1:15">
      <c r="A40" s="144" t="s">
        <v>480</v>
      </c>
      <c r="C40" s="1">
        <v>9</v>
      </c>
      <c r="D40" s="1">
        <v>7</v>
      </c>
      <c r="E40" s="1">
        <v>2</v>
      </c>
      <c r="F40" s="121">
        <f t="shared" si="22"/>
        <v>83.027777777777771</v>
      </c>
      <c r="G40" s="131">
        <f t="shared" si="23"/>
        <v>7.65</v>
      </c>
      <c r="H40" s="51">
        <f t="shared" si="24"/>
        <v>635.16</v>
      </c>
      <c r="I40" s="773">
        <f t="shared" si="11"/>
        <v>889.22</v>
      </c>
      <c r="J40" s="789">
        <f t="shared" si="12"/>
        <v>62</v>
      </c>
      <c r="L40" s="1">
        <f t="shared" si="25"/>
        <v>122</v>
      </c>
      <c r="M40" s="1">
        <f t="shared" si="26"/>
        <v>98</v>
      </c>
      <c r="N40" s="1">
        <f t="shared" si="27"/>
        <v>11956</v>
      </c>
      <c r="O40" s="786">
        <f t="shared" si="28"/>
        <v>83.027777777777771</v>
      </c>
    </row>
    <row r="41" spans="1:15" ht="15" customHeight="1">
      <c r="A41" s="144" t="s">
        <v>482</v>
      </c>
      <c r="C41" s="1">
        <v>10</v>
      </c>
      <c r="D41" s="1">
        <v>10</v>
      </c>
      <c r="E41" s="1">
        <v>2</v>
      </c>
      <c r="F41" s="121">
        <f t="shared" si="22"/>
        <v>124.69444444444444</v>
      </c>
      <c r="G41" s="131">
        <f t="shared" si="23"/>
        <v>7.65</v>
      </c>
      <c r="H41" s="51">
        <f t="shared" si="24"/>
        <v>953.91</v>
      </c>
      <c r="I41" s="773">
        <f t="shared" si="11"/>
        <v>1335.47</v>
      </c>
      <c r="J41" s="789">
        <f t="shared" si="12"/>
        <v>94</v>
      </c>
      <c r="L41" s="1">
        <f t="shared" si="25"/>
        <v>134</v>
      </c>
      <c r="M41" s="1">
        <f t="shared" si="26"/>
        <v>134</v>
      </c>
      <c r="N41" s="1">
        <f t="shared" si="27"/>
        <v>17956</v>
      </c>
      <c r="O41" s="786">
        <f t="shared" si="28"/>
        <v>124.69444444444444</v>
      </c>
    </row>
    <row r="42" spans="1:15" ht="15" customHeight="1">
      <c r="A42" s="144" t="s">
        <v>484</v>
      </c>
      <c r="C42" s="1">
        <v>10</v>
      </c>
      <c r="D42" s="1">
        <v>9</v>
      </c>
      <c r="E42" s="1">
        <v>2</v>
      </c>
      <c r="F42" s="121">
        <f t="shared" si="22"/>
        <v>113.52777777777777</v>
      </c>
      <c r="G42" s="131">
        <f t="shared" si="23"/>
        <v>7.65</v>
      </c>
      <c r="H42" s="51">
        <f t="shared" si="24"/>
        <v>868.49</v>
      </c>
      <c r="I42" s="773">
        <f t="shared" si="11"/>
        <v>1215.8900000000001</v>
      </c>
      <c r="J42" s="789">
        <f t="shared" si="12"/>
        <v>85</v>
      </c>
      <c r="L42" s="1">
        <f t="shared" si="25"/>
        <v>134</v>
      </c>
      <c r="M42" s="1">
        <f t="shared" si="26"/>
        <v>122</v>
      </c>
      <c r="N42" s="1">
        <f t="shared" si="27"/>
        <v>16348</v>
      </c>
      <c r="O42" s="786">
        <f t="shared" si="28"/>
        <v>113.52777777777777</v>
      </c>
    </row>
    <row r="43" spans="1:15" ht="15" customHeight="1">
      <c r="A43" s="144" t="s">
        <v>486</v>
      </c>
      <c r="C43" s="1">
        <v>10</v>
      </c>
      <c r="D43" s="1">
        <v>8</v>
      </c>
      <c r="E43" s="1">
        <v>2</v>
      </c>
      <c r="F43" s="121">
        <f t="shared" si="22"/>
        <v>102.36111111111111</v>
      </c>
      <c r="G43" s="131">
        <f t="shared" si="23"/>
        <v>7.65</v>
      </c>
      <c r="H43" s="51">
        <f t="shared" si="24"/>
        <v>783.06</v>
      </c>
      <c r="I43" s="773">
        <f t="shared" si="11"/>
        <v>1096.28</v>
      </c>
      <c r="J43" s="789">
        <f t="shared" si="12"/>
        <v>77</v>
      </c>
      <c r="L43" s="1">
        <f t="shared" si="25"/>
        <v>134</v>
      </c>
      <c r="M43" s="1">
        <f t="shared" si="26"/>
        <v>110</v>
      </c>
      <c r="N43" s="1">
        <f t="shared" si="27"/>
        <v>14740</v>
      </c>
      <c r="O43" s="786">
        <f t="shared" si="28"/>
        <v>102.36111111111111</v>
      </c>
    </row>
    <row r="44" spans="1:15" ht="15" customHeight="1">
      <c r="A44" s="144" t="s">
        <v>488</v>
      </c>
      <c r="C44" s="1">
        <v>10</v>
      </c>
      <c r="D44" s="1">
        <v>7</v>
      </c>
      <c r="E44" s="1">
        <v>2</v>
      </c>
      <c r="F44" s="121">
        <f t="shared" si="22"/>
        <v>91.194444444444443</v>
      </c>
      <c r="G44" s="131">
        <f t="shared" si="23"/>
        <v>7.65</v>
      </c>
      <c r="H44" s="51">
        <f t="shared" si="24"/>
        <v>697.64</v>
      </c>
      <c r="I44" s="773">
        <f t="shared" si="11"/>
        <v>976.7</v>
      </c>
      <c r="J44" s="789">
        <f t="shared" si="12"/>
        <v>68</v>
      </c>
      <c r="L44" s="1">
        <f t="shared" si="25"/>
        <v>134</v>
      </c>
      <c r="M44" s="1">
        <f t="shared" si="26"/>
        <v>98</v>
      </c>
      <c r="N44" s="1">
        <f t="shared" si="27"/>
        <v>13132</v>
      </c>
      <c r="O44" s="786">
        <f t="shared" si="28"/>
        <v>91.194444444444443</v>
      </c>
    </row>
    <row r="45" spans="1:15" ht="15" customHeight="1">
      <c r="A45" s="144" t="s">
        <v>490</v>
      </c>
      <c r="C45" s="1">
        <v>10</v>
      </c>
      <c r="D45" s="1">
        <v>6</v>
      </c>
      <c r="E45" s="1">
        <v>2</v>
      </c>
      <c r="F45" s="121">
        <f t="shared" si="22"/>
        <v>80.027777777777771</v>
      </c>
      <c r="G45" s="131">
        <f t="shared" si="23"/>
        <v>7.65</v>
      </c>
      <c r="H45" s="51">
        <f t="shared" si="24"/>
        <v>612.21</v>
      </c>
      <c r="I45" s="773">
        <f t="shared" si="11"/>
        <v>857.09</v>
      </c>
      <c r="J45" s="789">
        <f t="shared" si="12"/>
        <v>60</v>
      </c>
      <c r="L45" s="1">
        <f t="shared" si="25"/>
        <v>134</v>
      </c>
      <c r="M45" s="1">
        <f t="shared" si="26"/>
        <v>86</v>
      </c>
      <c r="N45" s="1">
        <f t="shared" si="27"/>
        <v>11524</v>
      </c>
      <c r="O45" s="786">
        <f t="shared" si="28"/>
        <v>80.027777777777771</v>
      </c>
    </row>
    <row r="46" spans="1:15">
      <c r="A46" s="144" t="s">
        <v>492</v>
      </c>
      <c r="C46" s="1">
        <v>20</v>
      </c>
      <c r="D46" s="1">
        <v>10</v>
      </c>
      <c r="E46" s="1">
        <v>2</v>
      </c>
      <c r="F46" s="121">
        <f t="shared" si="22"/>
        <v>236.36111111111111</v>
      </c>
      <c r="G46" s="131">
        <f t="shared" si="23"/>
        <v>7.65</v>
      </c>
      <c r="H46" s="51">
        <f t="shared" si="24"/>
        <v>1808.16</v>
      </c>
      <c r="I46" s="773">
        <f t="shared" si="11"/>
        <v>2531.42</v>
      </c>
      <c r="J46" s="789">
        <f t="shared" si="12"/>
        <v>177</v>
      </c>
      <c r="L46" s="1">
        <f t="shared" si="25"/>
        <v>254</v>
      </c>
      <c r="M46" s="1">
        <f t="shared" si="26"/>
        <v>134</v>
      </c>
      <c r="N46" s="1">
        <f t="shared" si="27"/>
        <v>34036</v>
      </c>
      <c r="O46" s="786">
        <f t="shared" si="28"/>
        <v>236.36111111111111</v>
      </c>
    </row>
    <row r="47" spans="1:15">
      <c r="A47" s="144" t="s">
        <v>494</v>
      </c>
      <c r="C47" s="1">
        <v>20</v>
      </c>
      <c r="D47" s="1">
        <v>8</v>
      </c>
      <c r="E47" s="1">
        <v>2</v>
      </c>
      <c r="F47" s="121">
        <f t="shared" si="22"/>
        <v>194.02777777777777</v>
      </c>
      <c r="G47" s="131">
        <f t="shared" si="23"/>
        <v>7.65</v>
      </c>
      <c r="H47" s="51">
        <f t="shared" si="24"/>
        <v>1484.31</v>
      </c>
      <c r="I47" s="773">
        <f t="shared" si="11"/>
        <v>2078.0300000000002</v>
      </c>
      <c r="J47" s="789">
        <f t="shared" si="12"/>
        <v>146</v>
      </c>
      <c r="L47" s="1">
        <f t="shared" si="25"/>
        <v>254</v>
      </c>
      <c r="M47" s="1">
        <f t="shared" si="26"/>
        <v>110</v>
      </c>
      <c r="N47" s="1">
        <f t="shared" si="27"/>
        <v>27940</v>
      </c>
      <c r="O47" s="786">
        <f t="shared" si="28"/>
        <v>194.02777777777777</v>
      </c>
    </row>
    <row r="48" spans="1:15">
      <c r="A48" s="144" t="s">
        <v>496</v>
      </c>
      <c r="C48" s="1">
        <v>16</v>
      </c>
      <c r="D48" s="1">
        <v>10</v>
      </c>
      <c r="E48" s="1">
        <v>2</v>
      </c>
      <c r="F48" s="121">
        <f t="shared" si="22"/>
        <v>191.69444444444446</v>
      </c>
      <c r="G48" s="131">
        <f t="shared" si="23"/>
        <v>7.65</v>
      </c>
      <c r="H48" s="51">
        <f t="shared" si="24"/>
        <v>1466.46</v>
      </c>
      <c r="I48" s="773">
        <f t="shared" si="11"/>
        <v>2053.04</v>
      </c>
      <c r="J48" s="789">
        <f t="shared" si="12"/>
        <v>144</v>
      </c>
      <c r="L48" s="1">
        <f>(C48*12)+14</f>
        <v>206</v>
      </c>
      <c r="M48" s="1">
        <f>(D48*12)+14</f>
        <v>134</v>
      </c>
      <c r="N48" s="1">
        <f t="shared" si="27"/>
        <v>27604</v>
      </c>
      <c r="O48" s="786">
        <f t="shared" si="28"/>
        <v>191.69444444444446</v>
      </c>
    </row>
    <row r="49" spans="1:18">
      <c r="A49" s="144" t="s">
        <v>498</v>
      </c>
      <c r="C49" s="1">
        <v>20</v>
      </c>
      <c r="D49" s="1">
        <v>7</v>
      </c>
      <c r="E49" s="1">
        <v>2</v>
      </c>
      <c r="F49" s="121">
        <f t="shared" si="22"/>
        <v>172.86111111111111</v>
      </c>
      <c r="G49" s="131">
        <f t="shared" si="23"/>
        <v>7.65</v>
      </c>
      <c r="H49" s="51">
        <f t="shared" si="24"/>
        <v>1322.39</v>
      </c>
      <c r="I49" s="773">
        <f t="shared" si="11"/>
        <v>1851.35</v>
      </c>
      <c r="J49" s="789">
        <f t="shared" si="12"/>
        <v>130</v>
      </c>
      <c r="L49" s="1">
        <f>(C49*12)+14</f>
        <v>254</v>
      </c>
      <c r="M49" s="1">
        <f>(D49*12)+14</f>
        <v>98</v>
      </c>
      <c r="N49" s="1">
        <f t="shared" si="27"/>
        <v>24892</v>
      </c>
      <c r="O49" s="786">
        <f t="shared" si="28"/>
        <v>172.86111111111111</v>
      </c>
    </row>
    <row r="50" spans="1:18" s="792" customFormat="1" ht="15" customHeight="1">
      <c r="A50" s="791" t="s">
        <v>767</v>
      </c>
      <c r="B50" s="798"/>
      <c r="C50" s="798"/>
      <c r="D50" s="798"/>
      <c r="E50" s="798"/>
      <c r="F50" s="798"/>
      <c r="G50" s="131"/>
      <c r="H50" s="51">
        <v>102</v>
      </c>
      <c r="I50" s="773">
        <f t="shared" si="11"/>
        <v>142.80000000000001</v>
      </c>
      <c r="J50" s="798"/>
      <c r="K50" s="798"/>
      <c r="L50" s="799"/>
      <c r="M50" s="799"/>
      <c r="N50" s="1"/>
      <c r="O50" s="786"/>
      <c r="P50" s="798"/>
      <c r="Q50" s="798"/>
      <c r="R50" s="798"/>
    </row>
    <row r="51" spans="1:18" s="792" customFormat="1" ht="15" customHeight="1">
      <c r="A51" s="791" t="s">
        <v>759</v>
      </c>
      <c r="B51" s="798"/>
      <c r="C51" s="798"/>
      <c r="D51" s="798"/>
      <c r="E51" s="798"/>
      <c r="F51" s="798"/>
      <c r="G51" s="131"/>
      <c r="H51" s="51">
        <v>81</v>
      </c>
      <c r="I51" s="773">
        <f t="shared" si="11"/>
        <v>113.4</v>
      </c>
      <c r="J51" s="798"/>
      <c r="K51" s="798"/>
      <c r="L51" s="799"/>
      <c r="M51" s="799"/>
      <c r="N51" s="1"/>
      <c r="O51" s="786"/>
      <c r="P51" s="798"/>
      <c r="Q51" s="798"/>
      <c r="R51" s="798"/>
    </row>
    <row r="52" spans="1:18" s="792" customFormat="1" ht="15" customHeight="1">
      <c r="A52" s="791" t="s">
        <v>764</v>
      </c>
      <c r="B52" s="798"/>
      <c r="C52" s="798"/>
      <c r="D52" s="798"/>
      <c r="E52" s="798"/>
      <c r="F52" s="798"/>
      <c r="G52" s="131"/>
      <c r="H52" s="51">
        <v>107</v>
      </c>
      <c r="I52" s="773">
        <f t="shared" si="11"/>
        <v>149.80000000000001</v>
      </c>
      <c r="J52" s="798"/>
      <c r="K52" s="798"/>
      <c r="L52" s="799"/>
      <c r="M52" s="799"/>
      <c r="N52" s="1"/>
      <c r="O52" s="786"/>
      <c r="P52" s="798"/>
      <c r="Q52" s="798"/>
      <c r="R52" s="798"/>
    </row>
    <row r="53" spans="1:18" s="792" customFormat="1" ht="15" customHeight="1">
      <c r="A53" s="798" t="s">
        <v>757</v>
      </c>
      <c r="B53" s="798"/>
      <c r="C53" s="800">
        <f>L53/12</f>
        <v>8.3333333333333339</v>
      </c>
      <c r="D53" s="800">
        <f>M53/12</f>
        <v>6.666666666666667</v>
      </c>
      <c r="E53" s="798">
        <v>3.25</v>
      </c>
      <c r="F53" s="121">
        <f t="shared" ref="F53" si="29">O53</f>
        <v>55.555555555555557</v>
      </c>
      <c r="G53" s="131">
        <f t="shared" si="23"/>
        <v>11.78</v>
      </c>
      <c r="H53" s="131">
        <f t="shared" si="24"/>
        <v>654.44000000000005</v>
      </c>
      <c r="I53" s="773">
        <f t="shared" si="11"/>
        <v>916.22</v>
      </c>
      <c r="J53" s="798"/>
      <c r="K53" s="798"/>
      <c r="L53" s="799">
        <v>100</v>
      </c>
      <c r="M53" s="799">
        <v>80</v>
      </c>
      <c r="N53" s="1">
        <f t="shared" ref="N53" si="30">L53*M53</f>
        <v>8000</v>
      </c>
      <c r="O53" s="786">
        <f t="shared" ref="O53" si="31">N53/144</f>
        <v>55.555555555555557</v>
      </c>
      <c r="P53" s="798"/>
      <c r="Q53" s="801">
        <v>802</v>
      </c>
      <c r="R53" s="802">
        <f>Q53/F53</f>
        <v>14.436</v>
      </c>
    </row>
    <row r="54" spans="1:18" ht="15" customHeight="1">
      <c r="A54" t="s">
        <v>447</v>
      </c>
      <c r="H54" s="131">
        <v>142.31</v>
      </c>
      <c r="I54" s="773">
        <f t="shared" si="11"/>
        <v>199.23</v>
      </c>
    </row>
    <row r="55" spans="1:18" ht="15" customHeight="1">
      <c r="A55" t="s">
        <v>452</v>
      </c>
      <c r="H55" s="131">
        <v>128.4</v>
      </c>
      <c r="I55" s="773">
        <f t="shared" si="11"/>
        <v>179.76</v>
      </c>
    </row>
    <row r="56" spans="1:18" ht="15" customHeight="1">
      <c r="A56" t="s">
        <v>450</v>
      </c>
      <c r="H56" s="131">
        <v>149.80000000000001</v>
      </c>
      <c r="I56" s="773">
        <f t="shared" si="11"/>
        <v>209.72</v>
      </c>
    </row>
  </sheetData>
  <mergeCells count="2">
    <mergeCell ref="A5:J5"/>
    <mergeCell ref="A1:J1"/>
  </mergeCells>
  <dataValidations count="1">
    <dataValidation type="list" allowBlank="1" showInputMessage="1" showErrorMessage="1" sqref="B22:B33" xr:uid="{79191B56-E318-46DA-BC20-85A322C7F390}">
      <formula1>"Yes, 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54EDDB64-8AED-4BD9-AA0F-BB92DBEDA474}">
            <xm:f>Discovery!$B$27="No"</xm:f>
            <x14:dxf>
              <fill>
                <patternFill patternType="solid">
                  <bgColor theme="0" tint="-0.34998626667073579"/>
                </patternFill>
              </fill>
            </x14:dxf>
          </x14:cfRule>
          <xm:sqref>A22:A34</xm:sqref>
        </x14:conditionalFormatting>
        <x14:conditionalFormatting xmlns:xm="http://schemas.microsoft.com/office/excel/2006/main">
          <x14:cfRule type="expression" priority="1" id="{50E55D11-3009-4166-9690-256E87F55F45}">
            <xm:f>Discovery!$B$27="No"</xm:f>
            <x14:dxf>
              <fill>
                <patternFill patternType="solid">
                  <bgColor theme="0" tint="-0.34998626667073579"/>
                </patternFill>
              </fill>
            </x14:dxf>
          </x14:cfRule>
          <xm:sqref>A36:A49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C55D-7220-4398-91E5-26891227E603}">
  <sheetPr codeName="Sheet12">
    <tabColor rgb="FF00B0F0"/>
    <pageSetUpPr fitToPage="1"/>
  </sheetPr>
  <dimension ref="A1:N229"/>
  <sheetViews>
    <sheetView showZeros="0" zoomScale="90" zoomScaleNormal="90" workbookViewId="0">
      <selection activeCell="B33" sqref="B33"/>
    </sheetView>
  </sheetViews>
  <sheetFormatPr defaultRowHeight="15" customHeight="1"/>
  <cols>
    <col min="1" max="1" width="8.7109375" bestFit="1" customWidth="1"/>
    <col min="2" max="2" width="72.42578125" bestFit="1" customWidth="1"/>
    <col min="4" max="4" width="22.7109375" customWidth="1"/>
    <col min="5" max="5" width="22.5703125" customWidth="1"/>
    <col min="6" max="6" width="10" style="141" customWidth="1"/>
    <col min="7" max="7" width="16.7109375" bestFit="1" customWidth="1"/>
    <col min="8" max="8" width="12.42578125" bestFit="1" customWidth="1"/>
    <col min="9" max="9" width="15" customWidth="1"/>
    <col min="10" max="10" width="31.7109375" bestFit="1" customWidth="1"/>
    <col min="11" max="11" width="10.85546875" customWidth="1"/>
    <col min="13" max="13" width="9.28515625" bestFit="1" customWidth="1"/>
  </cols>
  <sheetData>
    <row r="1" spans="1:11" ht="21">
      <c r="A1" t="s">
        <v>1383</v>
      </c>
      <c r="B1" s="12" t="s">
        <v>938</v>
      </c>
      <c r="C1" s="10"/>
      <c r="D1" s="10"/>
      <c r="E1" s="9"/>
      <c r="F1" s="154"/>
      <c r="G1" s="18"/>
      <c r="H1" s="19"/>
      <c r="J1" s="489" t="s">
        <v>939</v>
      </c>
      <c r="K1" s="490" t="str">
        <f ca="1">B10&amp;" - "&amp;VLOOKUP!F1&amp;" - PSFv73 - "&amp;TEXT(H9,"MMDDYYYY")</f>
        <v>Soar Autism Center - South Fort Collins - SQ-2MBL2T-10x10 - PSFv73 - 07222026</v>
      </c>
    </row>
    <row r="2" spans="1:11">
      <c r="B2" s="23" t="s">
        <v>940</v>
      </c>
      <c r="C2" s="23"/>
      <c r="D2" s="16"/>
      <c r="E2" s="23"/>
      <c r="F2" s="155"/>
      <c r="G2" s="15"/>
      <c r="H2" s="15"/>
      <c r="J2" s="489" t="s">
        <v>941</v>
      </c>
      <c r="K2" s="490" t="str">
        <f ca="1">B10&amp;" - "&amp;VLOOKUP!F1&amp;" - Proposal "&amp;F9&amp;" - "&amp;TEXT(H9,"MMDDYYYY")</f>
        <v>Soar Autism Center - South Fort Collins - SQ-2MBL2T-10x10 - Proposal ADV-SS-260722-001 - 07222026</v>
      </c>
    </row>
    <row r="3" spans="1:11">
      <c r="B3" s="23" t="s">
        <v>942</v>
      </c>
      <c r="C3" s="23"/>
      <c r="D3" s="16"/>
      <c r="E3" s="23"/>
      <c r="F3" s="156"/>
      <c r="G3" s="15"/>
      <c r="H3" s="15"/>
      <c r="K3" s="485"/>
    </row>
    <row r="4" spans="1:11">
      <c r="B4" s="23" t="s">
        <v>943</v>
      </c>
      <c r="C4" s="24"/>
      <c r="D4" s="16"/>
      <c r="E4" s="23"/>
    </row>
    <row r="5" spans="1:11">
      <c r="B5" s="16" t="s">
        <v>944</v>
      </c>
      <c r="C5" s="16"/>
      <c r="D5" s="16"/>
      <c r="E5" s="23"/>
    </row>
    <row r="6" spans="1:11">
      <c r="B6" t="s">
        <v>945</v>
      </c>
      <c r="C6" s="23"/>
      <c r="D6" s="16"/>
      <c r="E6" s="23"/>
    </row>
    <row r="7" spans="1:11">
      <c r="B7" s="16"/>
      <c r="C7" s="16"/>
      <c r="D7" s="16"/>
      <c r="E7" s="23"/>
    </row>
    <row r="8" spans="1:11">
      <c r="B8" s="238" t="s">
        <v>946</v>
      </c>
      <c r="C8" s="236"/>
      <c r="D8" s="23"/>
      <c r="E8" s="15"/>
      <c r="F8" s="836" t="s">
        <v>947</v>
      </c>
      <c r="G8" s="836"/>
      <c r="H8" s="286" t="s">
        <v>948</v>
      </c>
    </row>
    <row r="9" spans="1:11" ht="14.25" customHeight="1">
      <c r="B9" s="16" t="str">
        <f>Discovery!B2</f>
        <v>Tyler Galiotto</v>
      </c>
      <c r="C9" s="23"/>
      <c r="D9" s="23"/>
      <c r="E9" s="15"/>
      <c r="F9" s="837" t="str">
        <f ca="1">"ADV-" &amp;
UPPER(LEFT(B10,1) &amp; RIGHT(B10,1)) &amp;
"-" &amp; TEXT(H9,"yymmdd") &amp;
"-" &amp;
TEXT(
   IF(AND(ISNUMBER(K11),K11&gt;0),
      K11,
      COUNTIFS($B$10:B10,B10,$H$9:H9,H9)
   ),
"000")</f>
        <v>ADV-SS-260722-001</v>
      </c>
      <c r="G9" s="838"/>
      <c r="H9" s="317">
        <f ca="1">TODAY()</f>
        <v>46225</v>
      </c>
    </row>
    <row r="10" spans="1:11">
      <c r="B10" s="16" t="str">
        <f>Discovery!B3</f>
        <v>Soar Autism Center - South Fort Collins</v>
      </c>
      <c r="C10" s="23"/>
      <c r="D10" s="23"/>
      <c r="E10" s="15"/>
      <c r="F10" s="839" t="s">
        <v>949</v>
      </c>
      <c r="G10" s="839"/>
      <c r="H10" s="286" t="s">
        <v>950</v>
      </c>
    </row>
    <row r="11" spans="1:11">
      <c r="B11" s="16" t="str">
        <f>Discovery!B4</f>
        <v>3801 Automation Way</v>
      </c>
      <c r="C11" s="23"/>
      <c r="D11" s="23"/>
      <c r="E11" s="15"/>
      <c r="F11" s="838" t="str">
        <f>"SSG-"&amp;Discovery!B13</f>
        <v>SSG-12552093278</v>
      </c>
      <c r="G11" s="838"/>
      <c r="H11" s="317">
        <f ca="1">H9+6</f>
        <v>46231</v>
      </c>
      <c r="J11" s="520" t="s">
        <v>951</v>
      </c>
      <c r="K11" s="53">
        <v>0</v>
      </c>
    </row>
    <row r="12" spans="1:11">
      <c r="B12" s="16" t="str">
        <f>Discovery!B5&amp;" "&amp;Discovery!B6</f>
        <v>Fort Collins, CO 80525</v>
      </c>
      <c r="C12" s="23"/>
      <c r="D12" s="23"/>
      <c r="E12" s="15"/>
      <c r="F12" s="840" t="s">
        <v>970</v>
      </c>
      <c r="G12" s="840"/>
      <c r="H12" s="316">
        <f>Calcs!I176+100</f>
        <v>1376.8619999999999</v>
      </c>
    </row>
    <row r="13" spans="1:11">
      <c r="B13" s="16" t="str">
        <f>Discovery!B10</f>
        <v>United States</v>
      </c>
      <c r="C13" s="23"/>
      <c r="D13" s="23"/>
      <c r="E13" s="15"/>
      <c r="F13" s="156"/>
      <c r="G13" s="15"/>
      <c r="H13" s="15"/>
      <c r="J13" s="806" t="s">
        <v>971</v>
      </c>
      <c r="K13" s="806"/>
    </row>
    <row r="14" spans="1:11" ht="15" customHeight="1">
      <c r="B14" s="16"/>
      <c r="C14" s="16"/>
      <c r="D14" s="16"/>
      <c r="E14" s="16"/>
      <c r="F14" s="156"/>
      <c r="G14" s="15"/>
      <c r="H14" s="15"/>
      <c r="J14" s="1" t="s">
        <v>972</v>
      </c>
      <c r="K14" s="564">
        <f>H12</f>
        <v>1376.8619999999999</v>
      </c>
    </row>
    <row r="15" spans="1:11" ht="15" customHeight="1">
      <c r="B15" s="815" t="s">
        <v>1384</v>
      </c>
      <c r="C15" s="816"/>
      <c r="D15" s="816"/>
      <c r="E15" s="816"/>
      <c r="F15" s="816"/>
      <c r="G15" s="816"/>
      <c r="H15" s="817"/>
      <c r="J15" s="1" t="s">
        <v>973</v>
      </c>
      <c r="K15" s="564">
        <f>K14/2.205</f>
        <v>624.4272108843536</v>
      </c>
    </row>
    <row r="16" spans="1:11">
      <c r="B16" s="809" t="s">
        <v>1385</v>
      </c>
      <c r="C16" s="810"/>
      <c r="D16" s="810"/>
      <c r="E16" s="810"/>
      <c r="F16" s="810"/>
      <c r="G16" s="810"/>
      <c r="H16" s="811"/>
    </row>
    <row r="17" spans="2:14">
      <c r="B17" s="812"/>
      <c r="C17" s="813"/>
      <c r="D17" s="813"/>
      <c r="E17" s="813"/>
      <c r="F17" s="813"/>
      <c r="G17" s="813"/>
      <c r="H17" s="814"/>
    </row>
    <row r="18" spans="2:14" ht="15" customHeight="1">
      <c r="B18" s="23"/>
      <c r="C18" s="23"/>
      <c r="D18" s="23"/>
      <c r="E18" s="16"/>
      <c r="F18" s="155"/>
      <c r="G18" s="16"/>
      <c r="H18" s="16"/>
    </row>
    <row r="19" spans="2:14" ht="15" customHeight="1">
      <c r="B19" s="957" t="s">
        <v>175</v>
      </c>
      <c r="C19" s="958"/>
      <c r="D19" s="958"/>
      <c r="E19" s="958"/>
      <c r="F19" s="958"/>
      <c r="G19" s="958"/>
      <c r="H19" s="959"/>
    </row>
    <row r="20" spans="2:14" ht="15" customHeight="1">
      <c r="B20" s="642" t="s">
        <v>1386</v>
      </c>
      <c r="C20" s="639"/>
      <c r="D20" s="418"/>
      <c r="E20" s="640"/>
      <c r="F20" s="640"/>
      <c r="G20" s="641"/>
      <c r="H20" s="644">
        <v>2</v>
      </c>
    </row>
    <row r="21" spans="2:14" ht="15" customHeight="1">
      <c r="B21" s="643"/>
      <c r="C21" s="639"/>
      <c r="D21" s="418"/>
      <c r="E21" s="653"/>
      <c r="F21" s="653"/>
      <c r="G21" s="654"/>
      <c r="H21" s="655"/>
    </row>
    <row r="22" spans="2:14">
      <c r="B22" s="647" t="s">
        <v>1387</v>
      </c>
      <c r="C22" s="648"/>
      <c r="D22" s="649"/>
      <c r="E22" s="646"/>
      <c r="F22" s="650" t="s">
        <v>957</v>
      </c>
      <c r="G22" s="651" t="s">
        <v>1388</v>
      </c>
      <c r="H22" s="652" t="s">
        <v>975</v>
      </c>
    </row>
    <row r="23" spans="2:14">
      <c r="B23" s="560" t="s">
        <v>1389</v>
      </c>
      <c r="C23" s="645"/>
      <c r="D23" s="389"/>
      <c r="E23" s="389"/>
      <c r="F23" s="577">
        <v>1</v>
      </c>
      <c r="G23" s="638">
        <v>600</v>
      </c>
      <c r="H23" s="343">
        <f>F23*G23</f>
        <v>600</v>
      </c>
      <c r="J23" t="s">
        <v>1390</v>
      </c>
      <c r="K23" s="50">
        <v>600</v>
      </c>
      <c r="L23" s="637"/>
      <c r="M23" s="637"/>
      <c r="N23" s="131"/>
    </row>
    <row r="24" spans="2:14" ht="14.25" customHeight="1">
      <c r="B24" s="656" t="s">
        <v>1391</v>
      </c>
      <c r="C24" s="23"/>
      <c r="E24" s="239"/>
      <c r="F24" s="391"/>
      <c r="G24" s="342"/>
      <c r="H24" s="343"/>
    </row>
    <row r="25" spans="2:14" ht="14.25" customHeight="1">
      <c r="B25" s="656" t="str">
        <f>"Flight Details:Sioux Falls, SD to "&amp;ZAPIER!G5&amp;", "&amp;ZAPIER!H5</f>
        <v>Flight Details:Sioux Falls, SD to CO, 80525</v>
      </c>
      <c r="C25" s="23"/>
      <c r="E25" s="239"/>
      <c r="F25" s="391"/>
      <c r="G25" s="342"/>
      <c r="H25" s="343"/>
    </row>
    <row r="26" spans="2:14" ht="14.25" customHeight="1">
      <c r="B26" s="560" t="s">
        <v>1389</v>
      </c>
      <c r="C26" s="23"/>
      <c r="E26" s="239"/>
      <c r="F26" s="391"/>
      <c r="G26" s="342"/>
      <c r="H26" s="343"/>
      <c r="J26" t="s">
        <v>1392</v>
      </c>
      <c r="K26" s="50">
        <v>600</v>
      </c>
    </row>
    <row r="27" spans="2:14" ht="14.25" customHeight="1">
      <c r="B27" s="656" t="s">
        <v>1391</v>
      </c>
      <c r="C27" s="389"/>
      <c r="E27" s="390"/>
      <c r="F27" s="391"/>
      <c r="G27" s="342"/>
      <c r="H27" s="343"/>
    </row>
    <row r="28" spans="2:14" ht="14.25" customHeight="1">
      <c r="B28" s="656" t="str">
        <f>"Flight Details:Denver, CO to "&amp;ZAPIER!G5&amp;", "&amp;ZAPIER!H5</f>
        <v>Flight Details:Denver, CO to CO, 80525</v>
      </c>
      <c r="C28" s="23"/>
      <c r="E28" s="239"/>
      <c r="F28" s="391"/>
      <c r="G28" s="342"/>
      <c r="H28" s="343"/>
    </row>
    <row r="29" spans="2:14" ht="14.25" customHeight="1">
      <c r="B29" s="35"/>
      <c r="C29" s="23"/>
      <c r="E29" s="239"/>
      <c r="F29" s="391"/>
      <c r="G29" s="342"/>
      <c r="H29" s="343"/>
    </row>
    <row r="30" spans="2:14" ht="14.25" customHeight="1">
      <c r="B30" s="35"/>
      <c r="C30" s="23"/>
      <c r="E30" s="239"/>
      <c r="F30" s="391"/>
      <c r="G30" s="342"/>
      <c r="H30" s="343"/>
    </row>
    <row r="31" spans="2:14" ht="14.25" customHeight="1">
      <c r="B31" s="35"/>
      <c r="C31" s="23"/>
      <c r="E31" s="239"/>
      <c r="F31" s="391"/>
      <c r="G31" s="342"/>
      <c r="H31" s="343"/>
    </row>
    <row r="32" spans="2:14" ht="14.25" customHeight="1">
      <c r="B32" s="388"/>
      <c r="C32" s="389"/>
      <c r="E32" s="390"/>
      <c r="F32" s="391"/>
      <c r="G32" s="342"/>
      <c r="H32" s="343"/>
    </row>
    <row r="33" spans="2:8" ht="14.25" customHeight="1">
      <c r="B33" s="388"/>
      <c r="C33" s="389"/>
      <c r="E33" s="390"/>
      <c r="F33" s="391"/>
      <c r="G33" s="342"/>
      <c r="H33" s="343"/>
    </row>
    <row r="34" spans="2:8" ht="14.25" customHeight="1">
      <c r="B34" s="35"/>
      <c r="C34" s="23"/>
      <c r="E34" s="239"/>
      <c r="F34" s="391"/>
      <c r="G34" s="342"/>
      <c r="H34" s="343"/>
    </row>
    <row r="35" spans="2:8" ht="14.25" customHeight="1">
      <c r="B35" s="388"/>
      <c r="C35" s="389"/>
      <c r="E35" s="390"/>
      <c r="F35" s="391"/>
      <c r="G35" s="342"/>
      <c r="H35" s="343"/>
    </row>
    <row r="36" spans="2:8" ht="14.25" customHeight="1">
      <c r="B36" s="35"/>
      <c r="C36" s="23"/>
      <c r="E36" s="239"/>
      <c r="F36" s="391"/>
      <c r="G36" s="342"/>
      <c r="H36" s="343"/>
    </row>
    <row r="37" spans="2:8" ht="14.25" customHeight="1">
      <c r="B37" s="35"/>
      <c r="C37" s="23"/>
      <c r="E37" s="239"/>
      <c r="F37" s="391"/>
      <c r="G37" s="342"/>
      <c r="H37" s="343"/>
    </row>
    <row r="38" spans="2:8" ht="14.25" customHeight="1">
      <c r="B38" s="35"/>
      <c r="C38" s="23"/>
      <c r="E38" s="239"/>
      <c r="F38" s="391"/>
      <c r="G38" s="342"/>
      <c r="H38" s="343"/>
    </row>
    <row r="39" spans="2:8" ht="14.25" customHeight="1">
      <c r="B39" s="35"/>
      <c r="C39" s="23"/>
      <c r="E39" s="239"/>
      <c r="F39" s="391"/>
      <c r="G39" s="342"/>
      <c r="H39" s="343"/>
    </row>
    <row r="40" spans="2:8" ht="14.25" customHeight="1">
      <c r="B40" s="35"/>
      <c r="C40" s="23"/>
      <c r="E40" s="239"/>
      <c r="F40" s="391"/>
      <c r="G40" s="342"/>
      <c r="H40" s="343"/>
    </row>
    <row r="41" spans="2:8" ht="14.25" customHeight="1">
      <c r="B41" s="388"/>
      <c r="C41" s="389"/>
      <c r="E41" s="390"/>
      <c r="F41" s="391"/>
      <c r="G41" s="342"/>
      <c r="H41" s="343"/>
    </row>
    <row r="42" spans="2:8" ht="14.25" customHeight="1">
      <c r="B42" s="388"/>
      <c r="C42" s="389"/>
      <c r="E42" s="390"/>
      <c r="F42" s="391"/>
      <c r="G42" s="342"/>
      <c r="H42" s="343"/>
    </row>
    <row r="43" spans="2:8" ht="14.25" customHeight="1">
      <c r="B43" s="35"/>
      <c r="C43" s="23"/>
      <c r="E43" s="239"/>
      <c r="F43" s="391"/>
      <c r="G43" s="342"/>
      <c r="H43" s="343"/>
    </row>
    <row r="44" spans="2:8" ht="14.25" customHeight="1">
      <c r="B44" s="35"/>
      <c r="C44" s="23"/>
      <c r="E44" s="239"/>
      <c r="F44" s="391"/>
      <c r="G44" s="342"/>
      <c r="H44" s="343"/>
    </row>
    <row r="45" spans="2:8" ht="14.25" customHeight="1">
      <c r="B45" s="388"/>
      <c r="C45" s="389"/>
      <c r="E45" s="390"/>
      <c r="F45" s="391"/>
      <c r="G45" s="342"/>
      <c r="H45" s="343"/>
    </row>
    <row r="46" spans="2:8" ht="14.25" customHeight="1">
      <c r="B46" s="388"/>
      <c r="C46" s="389"/>
      <c r="E46" s="390"/>
      <c r="F46" s="391"/>
      <c r="G46" s="342"/>
      <c r="H46" s="343"/>
    </row>
    <row r="47" spans="2:8" ht="14.25" customHeight="1">
      <c r="B47" s="388"/>
      <c r="C47" s="389"/>
      <c r="E47" s="390"/>
      <c r="F47" s="391"/>
      <c r="G47" s="342"/>
      <c r="H47" s="343"/>
    </row>
    <row r="48" spans="2:8" ht="14.25" customHeight="1">
      <c r="B48" s="35"/>
      <c r="C48" s="23"/>
      <c r="E48" s="239"/>
      <c r="F48" s="391"/>
      <c r="G48" s="342"/>
      <c r="H48" s="343"/>
    </row>
    <row r="49" spans="2:9" ht="14.25" customHeight="1">
      <c r="B49" s="35"/>
      <c r="C49" s="23"/>
      <c r="E49" s="239"/>
      <c r="F49" s="391"/>
      <c r="G49" s="342"/>
      <c r="H49" s="343"/>
    </row>
    <row r="50" spans="2:9" ht="14.25" customHeight="1">
      <c r="B50" s="388"/>
      <c r="C50" s="389"/>
      <c r="E50" s="390"/>
      <c r="F50" s="391"/>
      <c r="G50" s="342"/>
      <c r="H50" s="343"/>
    </row>
    <row r="51" spans="2:9" ht="14.25" customHeight="1">
      <c r="B51" s="393" t="s">
        <v>405</v>
      </c>
      <c r="C51" s="394"/>
      <c r="E51" s="395"/>
      <c r="F51" s="396" t="s">
        <v>978</v>
      </c>
      <c r="G51" s="244"/>
      <c r="H51" s="253">
        <f>SUM(H23:H50)</f>
        <v>600</v>
      </c>
    </row>
    <row r="52" spans="2:9" ht="14.25" customHeight="1">
      <c r="B52" s="397"/>
      <c r="C52" s="389"/>
      <c r="D52" s="389"/>
      <c r="E52" s="390"/>
      <c r="F52" s="392" t="s">
        <v>979</v>
      </c>
      <c r="G52" s="243"/>
      <c r="H52" s="265"/>
    </row>
    <row r="53" spans="2:9" ht="14.25" customHeight="1">
      <c r="B53" s="549" t="s">
        <v>980</v>
      </c>
      <c r="C53" s="398"/>
      <c r="D53" s="398"/>
      <c r="E53" s="399"/>
      <c r="F53" s="400" t="s">
        <v>976</v>
      </c>
      <c r="G53" s="245"/>
      <c r="H53" s="266"/>
      <c r="I53" s="131"/>
    </row>
    <row r="54" spans="2:9" ht="14.25" customHeight="1">
      <c r="B54" s="388" t="s">
        <v>981</v>
      </c>
      <c r="C54" s="389"/>
      <c r="D54" s="389"/>
      <c r="E54" s="390"/>
      <c r="F54" s="401" t="s">
        <v>982</v>
      </c>
      <c r="G54" s="246"/>
      <c r="H54" s="265"/>
    </row>
    <row r="55" spans="2:9" ht="14.25" customHeight="1">
      <c r="B55" s="35" t="str">
        <f>IFERROR(VLOOKUP(D55,Calcs!B:G,3,FALSE),"")</f>
        <v>Trolley Bar</v>
      </c>
      <c r="C55" s="23"/>
      <c r="D55" s="23" t="s">
        <v>250</v>
      </c>
      <c r="E55" s="239"/>
      <c r="F55" s="250">
        <f>IFERROR(VLOOKUP(D55,Calcs!B:F,5,FALSE),"")</f>
        <v>1</v>
      </c>
      <c r="G55" s="243">
        <f>IFERROR(VLOOKUP(D55,Calcs!B:M,11,FALSE),"")</f>
        <v>32.200000000000003</v>
      </c>
      <c r="H55" s="251">
        <f>IFERROR(VLOOKUP(D55,Calcs!B:Z,12,FALSE),"")</f>
        <v>32.200000000000003</v>
      </c>
    </row>
    <row r="56" spans="2:9" ht="14.25" customHeight="1">
      <c r="B56" s="35" t="str">
        <f>IFERROR(VLOOKUP(D56,Calcs!B:G,3,FALSE),"")</f>
        <v>Trolley Bar Plate</v>
      </c>
      <c r="C56" s="23"/>
      <c r="D56" s="23" t="s">
        <v>253</v>
      </c>
      <c r="E56" s="239"/>
      <c r="F56" s="250">
        <f>IFERROR(VLOOKUP(D56,Calcs!B:F,5,FALSE),"")</f>
        <v>2</v>
      </c>
      <c r="G56" s="243">
        <f>IFERROR(VLOOKUP(D56,Calcs!B:M,11,FALSE),"")</f>
        <v>27.6</v>
      </c>
      <c r="H56" s="251">
        <f>IFERROR(VLOOKUP(D56,Calcs!B:Z,12,FALSE),"")</f>
        <v>55.2</v>
      </c>
    </row>
    <row r="57" spans="2:9" ht="14.25" customHeight="1">
      <c r="B57" s="35" t="str">
        <f>IFERROR(VLOOKUP(D57,Calcs!B:G,3,FALSE),"")</f>
        <v/>
      </c>
      <c r="C57" s="23"/>
      <c r="D57" s="774" t="s">
        <v>983</v>
      </c>
      <c r="E57" s="239"/>
      <c r="F57" s="250" t="str">
        <f>IFERROR(VLOOKUP(D57,Calcs!B:F,5,FALSE),"")</f>
        <v/>
      </c>
      <c r="G57" s="243" t="str">
        <f>IFERROR(VLOOKUP(D57,Calcs!B:M,11,FALSE),"")</f>
        <v/>
      </c>
      <c r="H57" s="251" t="str">
        <f>IFERROR(VLOOKUP(D57,Calcs!B:Z,12,FALSE),"")</f>
        <v/>
      </c>
    </row>
    <row r="58" spans="2:9" ht="14.25" customHeight="1">
      <c r="B58" s="35" t="str">
        <f>IFERROR(VLOOKUP(D58,Calcs!B:G,3,FALSE),"")</f>
        <v>9' Aluminum Enclosed Rail 550lbs. Max Weight</v>
      </c>
      <c r="C58" s="23"/>
      <c r="D58" s="774" t="s">
        <v>984</v>
      </c>
      <c r="E58" s="239"/>
      <c r="F58" s="250">
        <f>IFERROR(VLOOKUP(D58,Calcs!B:F,5,FALSE),"")</f>
        <v>2</v>
      </c>
      <c r="G58" s="243">
        <f>IFERROR(VLOOKUP(D58,Calcs!B:M,11,FALSE),"")</f>
        <v>445.05</v>
      </c>
      <c r="H58" s="251">
        <f>IFERROR(VLOOKUP(D58,Calcs!B:Z,12,FALSE),"")</f>
        <v>890.1</v>
      </c>
    </row>
    <row r="59" spans="2:9" ht="14.25" customHeight="1">
      <c r="B59" s="35" t="str">
        <f>IFERROR(VLOOKUP(D59,Calcs!B:G,3,FALSE),"")</f>
        <v/>
      </c>
      <c r="C59" s="23"/>
      <c r="D59" s="774" t="s">
        <v>985</v>
      </c>
      <c r="E59" s="239"/>
      <c r="F59" s="250" t="str">
        <f>IFERROR(VLOOKUP(D59,Calcs!B:F,5,FALSE),"")</f>
        <v/>
      </c>
      <c r="G59" s="243" t="str">
        <f>IFERROR(VLOOKUP(D59,Calcs!B:M,11,FALSE),"")</f>
        <v/>
      </c>
      <c r="H59" s="251" t="str">
        <f>IFERROR(VLOOKUP(D59,Calcs!B:Z,12,FALSE),"")</f>
        <v/>
      </c>
    </row>
    <row r="60" spans="2:9" ht="14.25" customHeight="1">
      <c r="B60" s="35" t="str">
        <f>IFERROR(VLOOKUP(D60,Calcs!B:G,3,FALSE),"")</f>
        <v/>
      </c>
      <c r="C60" s="23"/>
      <c r="D60" s="774" t="s">
        <v>986</v>
      </c>
      <c r="E60" s="239"/>
      <c r="F60" s="250" t="str">
        <f>IFERROR(VLOOKUP(D60,Calcs!B:F,5,FALSE),"")</f>
        <v/>
      </c>
      <c r="G60" s="243" t="str">
        <f>IFERROR(VLOOKUP(D60,Calcs!B:M,11,FALSE),"")</f>
        <v/>
      </c>
      <c r="H60" s="251" t="str">
        <f>IFERROR(VLOOKUP(D60,Calcs!B:Z,12,FALSE),"")</f>
        <v/>
      </c>
    </row>
    <row r="61" spans="2:9" ht="14.25" customHeight="1">
      <c r="B61" s="35" t="str">
        <f>IFERROR(VLOOKUP(D61,Calcs!B:G,3,FALSE),"")</f>
        <v>Universal Threaded Rod Hanger</v>
      </c>
      <c r="C61" s="23"/>
      <c r="D61" s="774" t="s">
        <v>987</v>
      </c>
      <c r="E61" s="239"/>
      <c r="F61" s="250">
        <f>IFERROR(VLOOKUP(D61,Calcs!B:F,5,FALSE),"")</f>
        <v>6</v>
      </c>
      <c r="G61" s="243">
        <f>IFERROR(VLOOKUP(D61,Calcs!B:M,11,FALSE),"")</f>
        <v>259.89999999999998</v>
      </c>
      <c r="H61" s="251">
        <f>IFERROR(VLOOKUP(D61,Calcs!B:Z,12,FALSE),"")</f>
        <v>1559.3999999999999</v>
      </c>
    </row>
    <row r="62" spans="2:9" ht="14.25" customHeight="1">
      <c r="B62" s="35" t="str">
        <f>IFERROR(VLOOKUP(D62,Calcs!B:G,3,FALSE),"")</f>
        <v>End Cap for Rail</v>
      </c>
      <c r="C62" s="23"/>
      <c r="D62" s="774" t="s">
        <v>988</v>
      </c>
      <c r="E62" s="239"/>
      <c r="F62" s="250">
        <f>IFERROR(VLOOKUP(D62,Calcs!B:F,5,FALSE),"")</f>
        <v>4</v>
      </c>
      <c r="G62" s="243">
        <f>IFERROR(VLOOKUP(D62,Calcs!B:M,11,FALSE),"")</f>
        <v>131.1</v>
      </c>
      <c r="H62" s="251">
        <f>IFERROR(VLOOKUP(D62,Calcs!B:Z,12,FALSE),"")</f>
        <v>524.4</v>
      </c>
    </row>
    <row r="63" spans="2:9" ht="14.25" customHeight="1">
      <c r="B63" s="35" t="str">
        <f>IFERROR(VLOOKUP(D63,Calcs!B:G,3,FALSE),"")</f>
        <v>Trolley for Rail</v>
      </c>
      <c r="C63" s="23"/>
      <c r="D63" s="774" t="s">
        <v>989</v>
      </c>
      <c r="E63" s="239"/>
      <c r="F63" s="250">
        <f>IFERROR(VLOOKUP(D63,Calcs!B:F,5,FALSE),"")</f>
        <v>2</v>
      </c>
      <c r="G63" s="243">
        <f>IFERROR(VLOOKUP(D63,Calcs!B:M,11,FALSE),"")</f>
        <v>243.8</v>
      </c>
      <c r="H63" s="251">
        <f>IFERROR(VLOOKUP(D63,Calcs!B:Z,12,FALSE),"")</f>
        <v>487.6</v>
      </c>
    </row>
    <row r="64" spans="2:9" ht="14.25" customHeight="1">
      <c r="B64" s="393" t="s">
        <v>405</v>
      </c>
      <c r="C64" s="394"/>
      <c r="D64" s="394"/>
      <c r="E64" s="395"/>
      <c r="F64" s="396" t="s">
        <v>978</v>
      </c>
      <c r="G64" s="247"/>
      <c r="H64" s="253">
        <f>SUM(H55:H63)</f>
        <v>3548.8999999999996</v>
      </c>
    </row>
    <row r="65" spans="2:8" ht="14.25" customHeight="1">
      <c r="B65" s="393"/>
      <c r="C65" s="394"/>
      <c r="D65" s="394"/>
      <c r="E65" s="395"/>
      <c r="F65" s="396" t="s">
        <v>979</v>
      </c>
      <c r="G65" s="247"/>
      <c r="H65" s="267"/>
    </row>
    <row r="66" spans="2:8" ht="14.25" customHeight="1">
      <c r="B66" s="549" t="s">
        <v>1076</v>
      </c>
      <c r="C66" s="402"/>
      <c r="D66" s="398"/>
      <c r="E66" s="399"/>
      <c r="F66" s="400" t="s">
        <v>976</v>
      </c>
      <c r="G66" s="245"/>
      <c r="H66" s="266"/>
    </row>
    <row r="67" spans="2:8" ht="14.25" customHeight="1">
      <c r="B67" s="388" t="s">
        <v>981</v>
      </c>
      <c r="C67" s="389"/>
      <c r="D67" s="389"/>
      <c r="E67" s="390"/>
      <c r="F67" s="392" t="s">
        <v>991</v>
      </c>
      <c r="G67" s="243"/>
      <c r="H67" s="265"/>
    </row>
    <row r="68" spans="2:8" ht="14.25" customHeight="1">
      <c r="B68" s="560" t="s">
        <v>992</v>
      </c>
      <c r="C68" s="389"/>
      <c r="D68" s="389"/>
      <c r="E68" s="390"/>
      <c r="F68" s="392" t="str">
        <f>IF(SUM(F69:F72)&gt;=1,1,"")</f>
        <v/>
      </c>
      <c r="G68" s="243"/>
      <c r="H68" s="265"/>
    </row>
    <row r="69" spans="2:8" ht="14.25" customHeight="1">
      <c r="B69" s="163" t="str">
        <f>IFERROR(VLOOKUP(D69,Calcs!B:G,3,FALSE),"")</f>
        <v/>
      </c>
      <c r="C69" s="282" t="s">
        <v>993</v>
      </c>
      <c r="D69" s="774" t="s">
        <v>415</v>
      </c>
      <c r="E69" s="241" t="s">
        <v>994</v>
      </c>
      <c r="F69" s="250" t="str">
        <f>IFERROR(VLOOKUP(D69,Calcs!B:F,5,FALSE),"")</f>
        <v/>
      </c>
      <c r="G69" s="465" t="str">
        <f>IFERROR(VLOOKUP(D69,Calcs!B:M,11,FALSE),"")</f>
        <v/>
      </c>
      <c r="H69" s="265" t="str">
        <f>IFERROR(VLOOKUP(D69,Calcs!B:N,12,FALSE),"")</f>
        <v/>
      </c>
    </row>
    <row r="70" spans="2:8" ht="14.25" customHeight="1">
      <c r="B70" s="163" t="str">
        <f>IFERROR(VLOOKUP(D70,Calcs!B:G,3,FALSE),"")</f>
        <v/>
      </c>
      <c r="C70" s="282"/>
      <c r="D70" s="774" t="s">
        <v>424</v>
      </c>
      <c r="E70" s="241" t="s">
        <v>995</v>
      </c>
      <c r="F70" s="250" t="str">
        <f>IFERROR(VLOOKUP(D70,Calcs!B:F,5,FALSE),"")</f>
        <v/>
      </c>
      <c r="G70" s="465" t="str">
        <f>IFERROR(VLOOKUP(D70,Calcs!B:M,11,FALSE),"")</f>
        <v/>
      </c>
      <c r="H70" s="265" t="str">
        <f>IFERROR(VLOOKUP(D70,Calcs!B:N,12,FALSE),"")</f>
        <v/>
      </c>
    </row>
    <row r="71" spans="2:8" ht="14.25" customHeight="1">
      <c r="B71" s="557" t="str">
        <f>IF(F70&gt;0.99,"Passthrough Freight Charge (Required)","")</f>
        <v>Passthrough Freight Charge (Required)</v>
      </c>
      <c r="C71" s="282"/>
      <c r="D71" s="144" t="s">
        <v>996</v>
      </c>
      <c r="E71" s="241" t="s">
        <v>995</v>
      </c>
      <c r="F71" s="250" t="str">
        <f>F70</f>
        <v/>
      </c>
      <c r="G71" s="465"/>
      <c r="H71" s="561" t="str">
        <f>IF(F71=1,"TBD","")</f>
        <v/>
      </c>
    </row>
    <row r="72" spans="2:8" ht="14.25" customHeight="1">
      <c r="B72" s="163" t="str">
        <f>IFERROR(VLOOKUP(D72,Calcs!B:G,3,FALSE),"")</f>
        <v/>
      </c>
      <c r="C72" s="282"/>
      <c r="D72" s="779">
        <v>150045</v>
      </c>
      <c r="E72" s="241"/>
      <c r="F72" s="250" t="str">
        <f>IFERROR(VLOOKUP(D72,Calcs!B:F,5,FALSE),"")</f>
        <v/>
      </c>
      <c r="G72" s="465" t="str">
        <f>IFERROR(VLOOKUP(D72,Calcs!B:M,11,FALSE),"")</f>
        <v/>
      </c>
      <c r="H72" s="265" t="str">
        <f>IFERROR(VLOOKUP(D72,Calcs!B:N,12,FALSE),"")</f>
        <v/>
      </c>
    </row>
    <row r="73" spans="2:8" ht="14.25" customHeight="1">
      <c r="B73" s="557" t="str">
        <f>IF(F69&gt;0.99,"Passthrough Freight Charge (Required)","")</f>
        <v>Passthrough Freight Charge (Required)</v>
      </c>
      <c r="C73" s="282"/>
      <c r="D73" s="144" t="s">
        <v>628</v>
      </c>
      <c r="E73" s="241" t="s">
        <v>995</v>
      </c>
      <c r="F73" s="250" t="str">
        <f>F72</f>
        <v/>
      </c>
      <c r="G73" s="465"/>
      <c r="H73" s="561">
        <f>IF(Discovery!B20="TBD","TBD",Discovery!B20*1.15)</f>
        <v>0</v>
      </c>
    </row>
    <row r="74" spans="2:8" ht="14.25" customHeight="1">
      <c r="B74" s="542" t="str">
        <f>IFERROR(VLOOKUP(D74,Calcs!B:G,3,FALSE),"")</f>
        <v/>
      </c>
      <c r="C74" s="282"/>
      <c r="D74" s="774" t="s">
        <v>427</v>
      </c>
      <c r="E74" s="241"/>
      <c r="F74" s="250" t="str">
        <f>IFERROR(VLOOKUP(D74,Calcs!B:F,5,FALSE),"")</f>
        <v/>
      </c>
      <c r="G74" s="465" t="str">
        <f>IFERROR(VLOOKUP(D74,Calcs!B:M,11,FALSE),"")</f>
        <v/>
      </c>
      <c r="H74" s="265" t="str">
        <f>IFERROR(VLOOKUP(D74,Calcs!B:N,12,FALSE),"")</f>
        <v/>
      </c>
    </row>
    <row r="75" spans="2:8" ht="14.25" customHeight="1">
      <c r="B75" s="550" t="s">
        <v>997</v>
      </c>
      <c r="C75" s="403"/>
      <c r="D75" s="74"/>
      <c r="E75" s="404"/>
      <c r="F75" s="392">
        <f>IF(SUM(F76:F78)&gt;=1,1,"")</f>
        <v>1</v>
      </c>
      <c r="G75" s="465"/>
      <c r="H75" s="265"/>
    </row>
    <row r="76" spans="2:8" ht="14.25" customHeight="1">
      <c r="B76" s="163" t="str">
        <f>IFERROR(VLOOKUP(D76,Calcs!B:G,3,FALSE),"")</f>
        <v/>
      </c>
      <c r="C76" s="282" t="s">
        <v>993</v>
      </c>
      <c r="D76" s="774" t="s">
        <v>433</v>
      </c>
      <c r="E76" s="241" t="s">
        <v>994</v>
      </c>
      <c r="F76" s="250" t="str">
        <f>IFERROR(VLOOKUP(D76,Calcs!B:F,5,FALSE),"")</f>
        <v/>
      </c>
      <c r="G76" s="465" t="str">
        <f>IFERROR(VLOOKUP(D76,Calcs!B:M,11,FALSE),"")</f>
        <v/>
      </c>
      <c r="H76" s="265" t="str">
        <f>IFERROR(VLOOKUP(D76,Calcs!B:N,12,FALSE),"")</f>
        <v/>
      </c>
    </row>
    <row r="77" spans="2:8" ht="14.25" customHeight="1">
      <c r="B77" s="163" t="str">
        <f>IFERROR(VLOOKUP(D77,Calcs!B:G,3,FALSE),"")</f>
        <v/>
      </c>
      <c r="C77" s="282"/>
      <c r="D77" s="774" t="s">
        <v>397</v>
      </c>
      <c r="E77" s="241"/>
      <c r="F77" s="250" t="str">
        <f>IFERROR(VLOOKUP(D77,Calcs!B:F,5,FALSE),"")</f>
        <v/>
      </c>
      <c r="G77" s="465" t="str">
        <f>IFERROR(VLOOKUP(D77,Calcs!B:M,11,FALSE),"")</f>
        <v/>
      </c>
      <c r="H77" s="265" t="str">
        <f>IFERROR(VLOOKUP(D77,Calcs!B:N,12,FALSE),"")</f>
        <v/>
      </c>
    </row>
    <row r="78" spans="2:8" ht="14.25" customHeight="1">
      <c r="B78" s="163" t="str">
        <f>IFERROR(VLOOKUP(D78,Calcs!B:G,3,FALSE),"")</f>
        <v>Adventure Climbing Wall - Wall Mounted-Metal Studs (Includes Climbing Holds)</v>
      </c>
      <c r="C78" s="282"/>
      <c r="D78" s="774" t="s">
        <v>435</v>
      </c>
      <c r="E78" s="241" t="s">
        <v>994</v>
      </c>
      <c r="F78" s="250">
        <f>IFERROR(VLOOKUP(D78,Calcs!B:F,5,FALSE),"")</f>
        <v>1</v>
      </c>
      <c r="G78" s="465">
        <f>IFERROR(VLOOKUP(D78,Calcs!B:M,11,FALSE),"")</f>
        <v>2442.6</v>
      </c>
      <c r="H78" s="265">
        <f>IFERROR(VLOOKUP(D78,Calcs!B:N,12,FALSE),"")</f>
        <v>2442.6</v>
      </c>
    </row>
    <row r="79" spans="2:8" ht="14.25" customHeight="1">
      <c r="B79" s="550" t="s">
        <v>998</v>
      </c>
      <c r="C79" s="282"/>
      <c r="D79" s="774"/>
      <c r="E79" s="241"/>
      <c r="F79" s="546" t="str">
        <f>IF(SUM(F80)&gt;=1,1,"")</f>
        <v/>
      </c>
      <c r="G79" s="465"/>
      <c r="H79" s="265"/>
    </row>
    <row r="80" spans="2:8" ht="14.25" customHeight="1">
      <c r="B80" s="163" t="str">
        <f>IFERROR(VLOOKUP(D80,Calcs!B:G,3,FALSE),"")</f>
        <v/>
      </c>
      <c r="C80" s="282"/>
      <c r="D80" s="774" t="s">
        <v>402</v>
      </c>
      <c r="E80" s="241"/>
      <c r="F80" s="250" t="str">
        <f>IFERROR(VLOOKUP(D80,Calcs!B:F,5,FALSE),"")</f>
        <v/>
      </c>
      <c r="G80" s="465" t="str">
        <f>IFERROR(VLOOKUP(D80,Calcs!B:M,11,FALSE),"")</f>
        <v/>
      </c>
      <c r="H80" s="265" t="str">
        <f>IFERROR(VLOOKUP(D80,Calcs!B:N,12,FALSE),"")</f>
        <v/>
      </c>
    </row>
    <row r="81" spans="2:8" ht="14.25" customHeight="1">
      <c r="B81" s="151" t="str">
        <f>IFERROR(VLOOKUP(D81,Calcs!B:G,3,FALSE),"")</f>
        <v/>
      </c>
      <c r="C81" s="282"/>
      <c r="D81" s="774" t="s">
        <v>445</v>
      </c>
      <c r="E81" s="241"/>
      <c r="F81" s="250" t="str">
        <f>IFERROR(VLOOKUP(D81,Calcs!B:F,5,FALSE),"")</f>
        <v/>
      </c>
      <c r="G81" s="465" t="str">
        <f>IFERROR(VLOOKUP(D81,Calcs!B:M,11,FALSE),"")</f>
        <v/>
      </c>
      <c r="H81" s="265" t="str">
        <f>IFERROR(VLOOKUP(D81,Calcs!B:N,12,FALSE),"")</f>
        <v/>
      </c>
    </row>
    <row r="82" spans="2:8" ht="14.25" customHeight="1">
      <c r="B82" s="151" t="str">
        <f>IFERROR(VLOOKUP(D82,Calcs!B:G,3,FALSE),"")</f>
        <v/>
      </c>
      <c r="C82" s="282"/>
      <c r="D82" s="774" t="s">
        <v>437</v>
      </c>
      <c r="E82" s="241"/>
      <c r="F82" s="250" t="str">
        <f>IFERROR(VLOOKUP(D82,Calcs!B:F,5,FALSE),"")</f>
        <v/>
      </c>
      <c r="G82" s="465" t="str">
        <f>IFERROR(VLOOKUP(D82,Calcs!B:M,11,FALSE),"")</f>
        <v/>
      </c>
      <c r="H82" s="265" t="str">
        <f>IFERROR(VLOOKUP(D82,Calcs!B:N,12,FALSE),"")</f>
        <v/>
      </c>
    </row>
    <row r="83" spans="2:8" ht="14.25" customHeight="1">
      <c r="B83" s="163" t="str">
        <f>IF(B82="adjustable Indoor Climbing Wall","Adjustable Indoor Climbing Wall - Freight Charge","")</f>
        <v/>
      </c>
      <c r="C83" s="282"/>
      <c r="D83" s="774" t="s">
        <v>999</v>
      </c>
      <c r="E83" s="241"/>
      <c r="F83" s="250" t="str">
        <f>IF(F82=1,1,"")</f>
        <v/>
      </c>
      <c r="G83" s="465" t="str">
        <f>IFERROR(VLOOKUP(D83,Calcs!B:M,11,FALSE),"")</f>
        <v/>
      </c>
      <c r="H83" s="265" t="str">
        <f>IFERROR(VLOOKUP(D83,Calcs!B:N,12,FALSE),"")</f>
        <v/>
      </c>
    </row>
    <row r="84" spans="2:8" ht="14.25" customHeight="1">
      <c r="B84" s="151" t="str">
        <f>IFERROR(VLOOKUP(D84,Calcs!B:G,3,FALSE),"")</f>
        <v/>
      </c>
      <c r="C84" s="282" t="s">
        <v>993</v>
      </c>
      <c r="D84" s="774" t="s">
        <v>429</v>
      </c>
      <c r="E84" s="241" t="s">
        <v>994</v>
      </c>
      <c r="F84" s="250" t="str">
        <f>IFERROR(VLOOKUP(D84,Calcs!B:F,5,FALSE),"")</f>
        <v/>
      </c>
      <c r="G84" s="465" t="str">
        <f>IFERROR(VLOOKUP(D84,Calcs!B:M,11,FALSE),"")</f>
        <v/>
      </c>
      <c r="H84" s="265" t="str">
        <f>IFERROR(VLOOKUP(D84,Calcs!B:N,12,FALSE),"")</f>
        <v/>
      </c>
    </row>
    <row r="85" spans="2:8" ht="14.25" customHeight="1">
      <c r="B85" s="151" t="str">
        <f>IFERROR(VLOOKUP(D85,Calcs!B:G,3,FALSE),"")</f>
        <v/>
      </c>
      <c r="C85" s="23"/>
      <c r="D85" t="s">
        <v>431</v>
      </c>
      <c r="E85" s="241" t="s">
        <v>994</v>
      </c>
      <c r="F85" s="250" t="str">
        <f>IFERROR(VLOOKUP(D85,Calcs!B:F,5,FALSE),"")</f>
        <v/>
      </c>
      <c r="G85" s="465" t="str">
        <f>IFERROR(VLOOKUP(D85,Calcs!B:M,11,FALSE),"")</f>
        <v/>
      </c>
      <c r="H85" s="265" t="str">
        <f>IFERROR(VLOOKUP(D85,Calcs!B:N,12,FALSE),"")</f>
        <v/>
      </c>
    </row>
    <row r="86" spans="2:8" ht="14.25" customHeight="1">
      <c r="B86" s="151" t="str">
        <f>IFERROR(VLOOKUP(D86,Calcs!B:G,3,FALSE),"")</f>
        <v/>
      </c>
      <c r="C86" s="282" t="s">
        <v>993</v>
      </c>
      <c r="D86" t="s">
        <v>561</v>
      </c>
      <c r="E86" s="241"/>
      <c r="F86" s="250" t="str">
        <f>IFERROR(VLOOKUP(D86,Calcs!B:F,5,FALSE),"")</f>
        <v/>
      </c>
      <c r="G86" s="465" t="str">
        <f>IFERROR(VLOOKUP(D86,Calcs!B:M,11,FALSE),"")</f>
        <v/>
      </c>
      <c r="H86" s="265" t="str">
        <f>IFERROR(VLOOKUP(D86,Calcs!B:N,12,FALSE),"")</f>
        <v/>
      </c>
    </row>
    <row r="87" spans="2:8" ht="14.25" customHeight="1">
      <c r="B87" s="151" t="str">
        <f>IFERROR(VLOOKUP(D87,Calcs!B:G,3,FALSE),"")</f>
        <v/>
      </c>
      <c r="C87" s="282" t="s">
        <v>993</v>
      </c>
      <c r="D87" t="s">
        <v>565</v>
      </c>
      <c r="E87" s="241"/>
      <c r="F87" s="250" t="str">
        <f>IFERROR(VLOOKUP(D87,Calcs!B:F,5,FALSE),"")</f>
        <v/>
      </c>
      <c r="G87" s="465" t="str">
        <f>IFERROR(VLOOKUP(D87,Calcs!B:M,11,FALSE),"")</f>
        <v/>
      </c>
      <c r="H87" s="265" t="str">
        <f>IFERROR(VLOOKUP(D87,Calcs!B:N,12,FALSE),"")</f>
        <v/>
      </c>
    </row>
    <row r="88" spans="2:8" ht="14.25" customHeight="1">
      <c r="B88" s="151" t="str">
        <f>IFERROR(VLOOKUP(D88,Calcs!B:G,3,FALSE),"")</f>
        <v/>
      </c>
      <c r="C88" s="282" t="s">
        <v>993</v>
      </c>
      <c r="D88" t="s">
        <v>567</v>
      </c>
      <c r="E88" s="241"/>
      <c r="F88" s="250" t="str">
        <f>IFERROR(VLOOKUP(D88,Calcs!B:F,5,FALSE),"")</f>
        <v/>
      </c>
      <c r="G88" s="465" t="str">
        <f>IFERROR(VLOOKUP(D88,Calcs!B:M,11,FALSE),"")</f>
        <v/>
      </c>
      <c r="H88" s="265" t="str">
        <f>IFERROR(VLOOKUP(D88,Calcs!B:N,12,FALSE),"")</f>
        <v/>
      </c>
    </row>
    <row r="89" spans="2:8" ht="14.25" customHeight="1">
      <c r="B89" s="151" t="str">
        <f>IFERROR(VLOOKUP(D89,Calcs!B:G,3,FALSE),"")</f>
        <v/>
      </c>
      <c r="C89" s="282" t="s">
        <v>993</v>
      </c>
      <c r="D89" t="s">
        <v>569</v>
      </c>
      <c r="E89" s="241"/>
      <c r="F89" s="250" t="str">
        <f>IFERROR(VLOOKUP(D89,Calcs!B:F,5,FALSE),"")</f>
        <v/>
      </c>
      <c r="G89" s="465" t="str">
        <f>IFERROR(VLOOKUP(D89,Calcs!B:M,11,FALSE),"")</f>
        <v/>
      </c>
      <c r="H89" s="265" t="str">
        <f>IFERROR(VLOOKUP(D89,Calcs!B:N,12,FALSE),"")</f>
        <v/>
      </c>
    </row>
    <row r="90" spans="2:8" ht="14.25" customHeight="1">
      <c r="B90" s="151" t="str">
        <f>IFERROR(VLOOKUP(D90,Calcs!B:G,3,FALSE),"")</f>
        <v/>
      </c>
      <c r="C90" s="282" t="s">
        <v>993</v>
      </c>
      <c r="D90" t="s">
        <v>1001</v>
      </c>
      <c r="E90" s="241"/>
      <c r="F90" s="250" t="str">
        <f>IFERROR(VLOOKUP(D90,Calcs!B:F,5,FALSE),"")</f>
        <v/>
      </c>
      <c r="G90" s="465" t="str">
        <f>IFERROR(VLOOKUP(D90,Calcs!B:M,11,FALSE),"")</f>
        <v/>
      </c>
      <c r="H90" s="265" t="str">
        <f>IFERROR(VLOOKUP(D90,Calcs!B:N,12,FALSE),"")</f>
        <v/>
      </c>
    </row>
    <row r="91" spans="2:8" ht="14.25" customHeight="1">
      <c r="B91" s="151" t="str">
        <f>IFERROR(VLOOKUP(D91,Calcs!B:G,3,FALSE),"")</f>
        <v/>
      </c>
      <c r="C91" s="282" t="s">
        <v>993</v>
      </c>
      <c r="D91" t="s">
        <v>583</v>
      </c>
      <c r="E91" s="241"/>
      <c r="F91" s="250" t="str">
        <f>IFERROR(VLOOKUP(D91,Calcs!B:F,5,FALSE),"")</f>
        <v/>
      </c>
      <c r="G91" s="465" t="str">
        <f>IFERROR(VLOOKUP(D91,Calcs!B:M,11,FALSE),"")</f>
        <v/>
      </c>
      <c r="H91" s="265" t="str">
        <f>IFERROR(VLOOKUP(D91,Calcs!B:N,12,FALSE),"")</f>
        <v/>
      </c>
    </row>
    <row r="92" spans="2:8" ht="14.25" customHeight="1">
      <c r="B92" s="151" t="str">
        <f>IFERROR(VLOOKUP(D92,Calcs!B:G,3,FALSE),"")</f>
        <v/>
      </c>
      <c r="C92" s="282" t="s">
        <v>993</v>
      </c>
      <c r="D92" s="354" t="s">
        <v>589</v>
      </c>
      <c r="E92" s="241" t="s">
        <v>994</v>
      </c>
      <c r="F92" s="250" t="str">
        <f>IFERROR(VLOOKUP(D92,Calcs!B:F,5,FALSE),"")</f>
        <v/>
      </c>
      <c r="G92" s="465" t="str">
        <f>IFERROR(VLOOKUP(D92,Calcs!B:M,11,FALSE),"")</f>
        <v/>
      </c>
      <c r="H92" s="265" t="str">
        <f>IFERROR(VLOOKUP(D92,Calcs!B:N,12,FALSE),"")</f>
        <v/>
      </c>
    </row>
    <row r="93" spans="2:8" ht="14.25" customHeight="1">
      <c r="B93" s="151" t="str">
        <f>IFERROR(VLOOKUP(D93,Calcs!B:G,3,FALSE),"")</f>
        <v/>
      </c>
      <c r="C93" s="282"/>
      <c r="D93" s="355" t="s">
        <v>1002</v>
      </c>
      <c r="E93" s="241" t="s">
        <v>1003</v>
      </c>
      <c r="F93" s="250" t="str">
        <f>IFERROR(VLOOKUP(D93,Calcs!B:F,5,FALSE),"")</f>
        <v/>
      </c>
      <c r="G93" s="465" t="str">
        <f>IFERROR(VLOOKUP(D93,Calcs!B:M,11,FALSE),"")</f>
        <v/>
      </c>
      <c r="H93" s="265" t="str">
        <f>IFERROR(VLOOKUP(D93,Calcs!B:N,12,FALSE),"")</f>
        <v/>
      </c>
    </row>
    <row r="94" spans="2:8" ht="14.25" customHeight="1">
      <c r="B94" s="151"/>
      <c r="C94" s="282"/>
      <c r="D94" s="354" t="s">
        <v>1004</v>
      </c>
      <c r="E94" s="241" t="s">
        <v>994</v>
      </c>
      <c r="F94" s="250" t="str">
        <f>IFERROR(VLOOKUP(D94,Calcs!B:F,5,FALSE),"")</f>
        <v/>
      </c>
      <c r="G94" s="465" t="str">
        <f>IFERROR(VLOOKUP(D94,Calcs!B:M,11,FALSE),"")</f>
        <v/>
      </c>
      <c r="H94" s="265" t="str">
        <f>IFERROR(VLOOKUP(D94,Calcs!B:N,12,FALSE),"")</f>
        <v/>
      </c>
    </row>
    <row r="95" spans="2:8" ht="14.25" customHeight="1">
      <c r="B95" s="151"/>
      <c r="C95" s="282"/>
      <c r="D95" s="354" t="s">
        <v>1005</v>
      </c>
      <c r="E95" s="241" t="s">
        <v>994</v>
      </c>
      <c r="F95" s="250" t="str">
        <f>IFERROR(VLOOKUP(D95,Calcs!B:F,5,FALSE),"")</f>
        <v/>
      </c>
      <c r="G95" s="465" t="str">
        <f>IFERROR(VLOOKUP(D95,Calcs!B:M,11,FALSE),"")</f>
        <v/>
      </c>
      <c r="H95" s="265" t="str">
        <f>IFERROR(VLOOKUP(D95,Calcs!B:N,12,FALSE),"")</f>
        <v/>
      </c>
    </row>
    <row r="96" spans="2:8" ht="14.25" customHeight="1">
      <c r="B96" s="151"/>
      <c r="C96" s="282"/>
      <c r="D96" s="354" t="s">
        <v>1006</v>
      </c>
      <c r="E96" s="241" t="s">
        <v>994</v>
      </c>
      <c r="F96" s="250" t="str">
        <f>IFERROR(VLOOKUP(D96,Calcs!B:F,5,FALSE),"")</f>
        <v/>
      </c>
      <c r="G96" s="465" t="str">
        <f>IFERROR(VLOOKUP(D96,Calcs!B:M,11,FALSE),"")</f>
        <v/>
      </c>
      <c r="H96" s="265" t="str">
        <f>IFERROR(VLOOKUP(D96,Calcs!B:N,12,FALSE),"")</f>
        <v/>
      </c>
    </row>
    <row r="97" spans="2:8" ht="14.25" customHeight="1">
      <c r="B97" s="151" t="str">
        <f>IFERROR(VLOOKUP(D97,Calcs!B:G,3,FALSE),"")</f>
        <v/>
      </c>
      <c r="C97" s="282" t="s">
        <v>993</v>
      </c>
      <c r="D97" s="148">
        <v>120040</v>
      </c>
      <c r="E97" s="241"/>
      <c r="F97" s="250" t="str">
        <f>IFERROR(VLOOKUP(D97,Calcs!B:F,5,FALSE),"")</f>
        <v/>
      </c>
      <c r="G97" s="465" t="str">
        <f>IFERROR(VLOOKUP(D97,Calcs!B:M,11,FALSE),"")</f>
        <v/>
      </c>
      <c r="H97" s="265" t="str">
        <f>IFERROR(VLOOKUP(D97,Calcs!B:N,12,FALSE),"")</f>
        <v/>
      </c>
    </row>
    <row r="98" spans="2:8" ht="14.25" customHeight="1">
      <c r="B98" s="151" t="str">
        <f>IFERROR(VLOOKUP(D98,Calcs!B:G,3,FALSE),"")</f>
        <v/>
      </c>
      <c r="C98" s="282" t="s">
        <v>993</v>
      </c>
      <c r="D98" s="354" t="s">
        <v>1393</v>
      </c>
      <c r="E98" s="241" t="s">
        <v>994</v>
      </c>
      <c r="F98" s="250" t="str">
        <f>IFERROR(VLOOKUP(D98,Calcs!B:F,5,FALSE),"")</f>
        <v/>
      </c>
      <c r="G98" s="465" t="str">
        <f>IFERROR(VLOOKUP(D98,Calcs!B:M,11,FALSE),"")</f>
        <v/>
      </c>
      <c r="H98" s="265" t="str">
        <f>IFERROR(VLOOKUP(D98,Calcs!B:N,12,FALSE),"")</f>
        <v/>
      </c>
    </row>
    <row r="99" spans="2:8" ht="14.25" customHeight="1">
      <c r="B99" s="151" t="str">
        <f>IFERROR(VLOOKUP(D99,Calcs!B:G,3,FALSE),"")</f>
        <v/>
      </c>
      <c r="C99" s="282"/>
      <c r="D99" s="354" t="s">
        <v>1007</v>
      </c>
      <c r="E99" s="241" t="s">
        <v>994</v>
      </c>
      <c r="F99" s="250" t="str">
        <f>IFERROR(VLOOKUP(D99,Calcs!B:F,5,FALSE),"")</f>
        <v/>
      </c>
      <c r="G99" s="465" t="str">
        <f>IFERROR(VLOOKUP(D99,Calcs!B:M,11,FALSE),"")</f>
        <v/>
      </c>
      <c r="H99" s="265" t="str">
        <f>IFERROR(VLOOKUP(D99,Calcs!B:N,12,FALSE),"")</f>
        <v/>
      </c>
    </row>
    <row r="100" spans="2:8" ht="14.25" customHeight="1">
      <c r="B100" s="151" t="str">
        <f>IFERROR(VLOOKUP(D100,Calcs!B:G,3,FALSE),"")</f>
        <v/>
      </c>
      <c r="C100" s="282"/>
      <c r="D100" s="354" t="s">
        <v>604</v>
      </c>
      <c r="E100" s="241" t="s">
        <v>1008</v>
      </c>
      <c r="F100" s="250" t="str">
        <f>IFERROR(VLOOKUP(D100,Calcs!B:F,5,FALSE),"")</f>
        <v/>
      </c>
      <c r="G100" s="465" t="str">
        <f>IFERROR(VLOOKUP(D100,Calcs!B:M,11,FALSE),"")</f>
        <v/>
      </c>
      <c r="H100" s="265" t="str">
        <f>IFERROR(VLOOKUP(D100,Calcs!B:N,12,FALSE),"")</f>
        <v/>
      </c>
    </row>
    <row r="101" spans="2:8" ht="14.25" customHeight="1">
      <c r="B101" s="151" t="str">
        <f>IFERROR(VLOOKUP(D101,Calcs!B:G,3,FALSE),"")</f>
        <v/>
      </c>
      <c r="C101" s="282"/>
      <c r="D101" s="354" t="s">
        <v>607</v>
      </c>
      <c r="E101" s="241"/>
      <c r="F101" s="250" t="str">
        <f>IFERROR(VLOOKUP(D101,Calcs!B:F,5,FALSE),"")</f>
        <v/>
      </c>
      <c r="G101" s="465" t="str">
        <f>IFERROR(VLOOKUP(D101,Calcs!B:M,11,FALSE),"")</f>
        <v/>
      </c>
      <c r="H101" s="265" t="str">
        <f>IFERROR(VLOOKUP(D101,Calcs!B:N,12,FALSE),"")</f>
        <v/>
      </c>
    </row>
    <row r="102" spans="2:8" ht="14.25" customHeight="1">
      <c r="B102" s="151" t="str">
        <f>IFERROR(VLOOKUP(D102,Calcs!B:G,3,FALSE),"")</f>
        <v/>
      </c>
      <c r="C102" s="282"/>
      <c r="D102" t="s">
        <v>585</v>
      </c>
      <c r="E102" s="241" t="s">
        <v>994</v>
      </c>
      <c r="F102" s="250" t="str">
        <f>IFERROR(VLOOKUP(D102,Calcs!B:F,5,FALSE),"")</f>
        <v/>
      </c>
      <c r="G102" s="465" t="str">
        <f>IFERROR(VLOOKUP(D102,Calcs!B:M,11,FALSE),"")</f>
        <v/>
      </c>
      <c r="H102" s="265" t="str">
        <f>IFERROR(VLOOKUP(D102,Calcs!B:N,12,FALSE),"")</f>
        <v/>
      </c>
    </row>
    <row r="103" spans="2:8" ht="14.25" customHeight="1">
      <c r="B103" s="151" t="str">
        <f>IFERROR(VLOOKUP(D103,Calcs!B:G,3,FALSE),"")</f>
        <v/>
      </c>
      <c r="C103" s="282"/>
      <c r="D103" t="s">
        <v>1009</v>
      </c>
      <c r="E103" s="241" t="s">
        <v>994</v>
      </c>
      <c r="F103" s="250" t="str">
        <f>IFERROR(VLOOKUP(D103,Calcs!B:F,5,FALSE),"")</f>
        <v/>
      </c>
      <c r="G103" s="465" t="str">
        <f>IFERROR(VLOOKUP(D103,Calcs!B:M,11,FALSE),"")</f>
        <v/>
      </c>
      <c r="H103" s="265" t="str">
        <f>IFERROR(VLOOKUP(D103,Calcs!B:N,12,FALSE),"")</f>
        <v/>
      </c>
    </row>
    <row r="104" spans="2:8" ht="14.25" customHeight="1">
      <c r="B104" s="151" t="str">
        <f>IFERROR(VLOOKUP(D104,Calcs!B:G,3,FALSE),"")</f>
        <v/>
      </c>
      <c r="C104" s="282"/>
      <c r="D104" t="s">
        <v>612</v>
      </c>
      <c r="E104" s="241"/>
      <c r="F104" s="250" t="str">
        <f>IFERROR(VLOOKUP(D104,Calcs!B:F,5,FALSE),"")</f>
        <v/>
      </c>
      <c r="G104" s="465" t="str">
        <f>IFERROR(VLOOKUP(D104,Calcs!B:M,11,FALSE),"")</f>
        <v/>
      </c>
      <c r="H104" s="265" t="str">
        <f>IFERROR(VLOOKUP(D104,Calcs!B:N,12,FALSE),"")</f>
        <v/>
      </c>
    </row>
    <row r="105" spans="2:8" ht="14.25" customHeight="1">
      <c r="B105" s="151"/>
      <c r="C105" s="282"/>
      <c r="D105" t="s">
        <v>610</v>
      </c>
      <c r="E105" s="241"/>
      <c r="F105" s="250"/>
      <c r="G105" s="465"/>
      <c r="H105" s="265"/>
    </row>
    <row r="106" spans="2:8" ht="14.25" customHeight="1">
      <c r="B106" s="550" t="s">
        <v>1010</v>
      </c>
      <c r="C106" s="403"/>
      <c r="D106" s="74"/>
      <c r="E106" s="404"/>
      <c r="F106" s="392">
        <f>IF(F107&gt;=1,1,"")</f>
        <v>1</v>
      </c>
      <c r="G106" s="491"/>
      <c r="H106" s="492"/>
    </row>
    <row r="107" spans="2:8" ht="14.25" customHeight="1">
      <c r="B107" s="406" t="str">
        <f>IFERROR(VLOOKUP(D107,Calcs!B:G,3,FALSE),"")</f>
        <v>Auto Locking Carabiner Clips - 28KN (6172lbs) Heavy Duty Carabiner (4 Pack)</v>
      </c>
      <c r="C107" s="403"/>
      <c r="D107" s="74" t="s">
        <v>578</v>
      </c>
      <c r="E107" s="241" t="s">
        <v>994</v>
      </c>
      <c r="F107" s="391">
        <f>IFERROR(VLOOKUP(D107,Calcs!B:F,5,FALSE),0)</f>
        <v>2</v>
      </c>
      <c r="G107" s="465">
        <f>IFERROR(VLOOKUP(D107,Calcs!B:M,11,FALSE),"")</f>
        <v>52.88</v>
      </c>
      <c r="H107" s="265">
        <f>IFERROR(VLOOKUP(D107,Calcs!B:N,12,FALSE),"")</f>
        <v>105.76</v>
      </c>
    </row>
    <row r="108" spans="2:8" ht="14.25" customHeight="1">
      <c r="B108" s="406" t="str">
        <f>IFERROR(VLOOKUP(D108,Calcs!B:G,3,FALSE),"")</f>
        <v/>
      </c>
      <c r="C108" s="403"/>
      <c r="D108" s="74" t="s">
        <v>575</v>
      </c>
      <c r="E108" s="241" t="s">
        <v>994</v>
      </c>
      <c r="F108" s="391" t="str">
        <f>IFERROR(VLOOKUP(D108,Calcs!B:F,5,FALSE),"")</f>
        <v/>
      </c>
      <c r="G108" s="465" t="str">
        <f>IFERROR(VLOOKUP(D108,Calcs!B:M,11,FALSE),"")</f>
        <v/>
      </c>
      <c r="H108" s="265" t="str">
        <f>IFERROR(VLOOKUP(D108,Calcs!B:N,12,FALSE),"")</f>
        <v/>
      </c>
    </row>
    <row r="109" spans="2:8" ht="14.25" customHeight="1">
      <c r="B109" s="406" t="str">
        <f>IFERROR(VLOOKUP(D109,Calcs!B:G,3,FALSE),"")</f>
        <v/>
      </c>
      <c r="C109" s="403"/>
      <c r="D109" s="355" t="s">
        <v>587</v>
      </c>
      <c r="E109" s="241" t="s">
        <v>994</v>
      </c>
      <c r="F109" s="391" t="str">
        <f>IFERROR(VLOOKUP(D109,Calcs!B:F,5,FALSE),"")</f>
        <v/>
      </c>
      <c r="G109" s="465" t="str">
        <f>IFERROR(VLOOKUP(D109,Calcs!B:M,11,FALSE),"")</f>
        <v/>
      </c>
      <c r="H109" s="265" t="str">
        <f>IFERROR(VLOOKUP(D109,Calcs!B:N,12,FALSE),"")</f>
        <v/>
      </c>
    </row>
    <row r="110" spans="2:8" ht="14.25" customHeight="1">
      <c r="B110" s="406" t="str">
        <f>IFERROR(VLOOKUP(D110,Calcs!B:G,3,FALSE),"")</f>
        <v/>
      </c>
      <c r="C110" s="403"/>
      <c r="D110" s="355" t="s">
        <v>1394</v>
      </c>
      <c r="E110" s="241" t="s">
        <v>1011</v>
      </c>
      <c r="F110" s="391" t="str">
        <f>IFERROR(VLOOKUP(D110,Calcs!B:F,5,FALSE),"")</f>
        <v/>
      </c>
      <c r="G110" s="465" t="str">
        <f>IFERROR(VLOOKUP(D110,Calcs!B:M,11,FALSE),"")</f>
        <v/>
      </c>
      <c r="H110" s="265" t="str">
        <f>IFERROR(VLOOKUP(D110,Calcs!B:N,12,FALSE),"")</f>
        <v/>
      </c>
    </row>
    <row r="111" spans="2:8" ht="14.25" customHeight="1">
      <c r="B111" s="557" t="str">
        <f>IF(F110&gt;0.99,"Passthrough Freight Charge (Required)","")</f>
        <v>Passthrough Freight Charge (Required)</v>
      </c>
      <c r="C111" s="282"/>
      <c r="D111" s="144" t="s">
        <v>628</v>
      </c>
      <c r="E111" s="241" t="s">
        <v>995</v>
      </c>
      <c r="F111" s="250">
        <f>IF(F110&gt;0.99,1,"")</f>
        <v>1</v>
      </c>
      <c r="G111" s="465"/>
      <c r="H111" s="561" t="str">
        <f>IF(F111=1,"TBD","")</f>
        <v>TBD</v>
      </c>
    </row>
    <row r="112" spans="2:8" ht="14.25" customHeight="1">
      <c r="B112" s="405" t="s">
        <v>1012</v>
      </c>
      <c r="C112" s="403"/>
      <c r="D112" s="355"/>
      <c r="E112" s="404"/>
      <c r="F112" s="392" t="str">
        <f>IF(F113=1,1,"")</f>
        <v/>
      </c>
      <c r="G112" s="465"/>
      <c r="H112" s="265"/>
    </row>
    <row r="113" spans="2:9" ht="14.25" customHeight="1">
      <c r="B113" s="406" t="str">
        <f>IFERROR(VLOOKUP(D113,Calcs!B:G,3,FALSE),"")</f>
        <v/>
      </c>
      <c r="C113" s="403"/>
      <c r="D113" s="354" t="s">
        <v>591</v>
      </c>
      <c r="E113" s="404"/>
      <c r="F113" s="391" t="str">
        <f>IFERROR(VLOOKUP(D113,Calcs!B:F,5,FALSE),"")</f>
        <v/>
      </c>
      <c r="G113" s="465" t="str">
        <f>IFERROR(VLOOKUP(D113,Calcs!B:M,11,FALSE),"")</f>
        <v/>
      </c>
      <c r="H113" s="265" t="str">
        <f>IFERROR(VLOOKUP(D113,Calcs!B:N,12,FALSE),"")</f>
        <v/>
      </c>
    </row>
    <row r="114" spans="2:9" ht="14.25" customHeight="1">
      <c r="B114" s="406" t="str">
        <f>IFERROR(VLOOKUP(D114,Calcs!B:G,3,FALSE),"")</f>
        <v/>
      </c>
      <c r="C114" s="403"/>
      <c r="D114" s="354" t="s">
        <v>454</v>
      </c>
      <c r="E114" s="404"/>
      <c r="F114" s="391" t="str">
        <f>IFERROR(VLOOKUP(D114,Calcs!B:F,5,FALSE),"")</f>
        <v/>
      </c>
      <c r="G114" s="465" t="str">
        <f>IFERROR(VLOOKUP(D114,Calcs!B:M,11,FALSE),"")</f>
        <v/>
      </c>
      <c r="H114" s="265" t="str">
        <f>IFERROR(VLOOKUP(D114,Calcs!B:N,12,FALSE),"")</f>
        <v/>
      </c>
    </row>
    <row r="115" spans="2:9" ht="14.25" customHeight="1">
      <c r="B115" s="406" t="str">
        <f>IFERROR(VLOOKUP(D115,Calcs!B:G,3,FALSE),"")</f>
        <v/>
      </c>
      <c r="C115" s="403"/>
      <c r="D115" s="354" t="s">
        <v>593</v>
      </c>
      <c r="E115" s="404"/>
      <c r="F115" s="391" t="str">
        <f>IFERROR(VLOOKUP(D115,Calcs!B:F,5,FALSE),"")</f>
        <v/>
      </c>
      <c r="G115" s="465" t="str">
        <f>IFERROR(VLOOKUP(D115,Calcs!B:M,11,FALSE),"")</f>
        <v/>
      </c>
      <c r="H115" s="265" t="str">
        <f>IFERROR(VLOOKUP(D115,Calcs!B:N,12,FALSE),"")</f>
        <v/>
      </c>
    </row>
    <row r="116" spans="2:9" ht="14.25" customHeight="1">
      <c r="B116" s="406" t="str">
        <f>IFERROR(VLOOKUP(D116,Calcs!B:G,3,FALSE),"")</f>
        <v/>
      </c>
      <c r="C116" s="403"/>
      <c r="D116" s="354" t="s">
        <v>597</v>
      </c>
      <c r="E116" s="404"/>
      <c r="F116" s="391" t="str">
        <f>IFERROR(VLOOKUP(D116,Calcs!B:F,5,FALSE),"")</f>
        <v/>
      </c>
      <c r="G116" s="465" t="str">
        <f>IFERROR(VLOOKUP(D116,Calcs!B:M,11,FALSE),"")</f>
        <v/>
      </c>
      <c r="H116" s="265" t="str">
        <f>IFERROR(VLOOKUP(D116,Calcs!B:N,12,FALSE),"")</f>
        <v/>
      </c>
    </row>
    <row r="117" spans="2:9" ht="14.25" customHeight="1">
      <c r="B117" s="406"/>
      <c r="C117" s="403"/>
      <c r="D117" s="354"/>
      <c r="E117" s="404"/>
      <c r="F117" s="391"/>
      <c r="G117" s="465"/>
      <c r="H117" s="265"/>
    </row>
    <row r="118" spans="2:9" ht="14.25" customHeight="1">
      <c r="B118" s="393" t="s">
        <v>405</v>
      </c>
      <c r="C118" s="394"/>
      <c r="D118" s="394"/>
      <c r="E118" s="395"/>
      <c r="F118" s="392" t="s">
        <v>978</v>
      </c>
      <c r="G118" s="244"/>
      <c r="H118" s="253">
        <f>SUM(H69:H116)</f>
        <v>2548.36</v>
      </c>
    </row>
    <row r="119" spans="2:9" ht="14.25" customHeight="1">
      <c r="B119" s="393"/>
      <c r="C119" s="394"/>
      <c r="D119" s="394"/>
      <c r="E119" s="395"/>
      <c r="F119" s="392" t="s">
        <v>979</v>
      </c>
      <c r="G119" s="244"/>
      <c r="H119" s="267"/>
    </row>
    <row r="120" spans="2:9" ht="14.25" customHeight="1">
      <c r="B120" s="549" t="s">
        <v>1013</v>
      </c>
      <c r="C120" s="402"/>
      <c r="D120" s="407"/>
      <c r="E120" s="408"/>
      <c r="F120" s="409" t="s">
        <v>976</v>
      </c>
      <c r="G120" s="248"/>
      <c r="H120" s="268"/>
      <c r="I120" s="131"/>
    </row>
    <row r="121" spans="2:9" ht="14.25" customHeight="1">
      <c r="B121" s="388" t="s">
        <v>981</v>
      </c>
      <c r="C121" s="410"/>
      <c r="D121" s="394"/>
      <c r="E121" s="395"/>
      <c r="F121" s="392" t="s">
        <v>1014</v>
      </c>
      <c r="G121" s="244"/>
      <c r="H121" s="267"/>
    </row>
    <row r="122" spans="2:9" ht="14.25" customHeight="1">
      <c r="B122" s="35" t="str">
        <f>IFERROR(VLOOKUP(D122,Calcs!B:D,3,FALSE),"")</f>
        <v/>
      </c>
      <c r="C122" s="159"/>
      <c r="D122" s="23" t="s">
        <v>503</v>
      </c>
      <c r="E122" s="240"/>
      <c r="F122" s="250" t="str">
        <f>IFERROR(VLOOKUP(D122,Calcs!B:F,5,FALSE),"")</f>
        <v/>
      </c>
      <c r="G122" s="243" t="str">
        <f>IFERROR(VLOOKUP(D122,Calcs!B:M,11,FALSE),"")</f>
        <v/>
      </c>
      <c r="H122" s="265" t="str">
        <f>IFERROR(VLOOKUP(D122,Calcs!B:N,12,FALSE),"")</f>
        <v/>
      </c>
    </row>
    <row r="123" spans="2:9" ht="14.25" customHeight="1">
      <c r="B123" s="169" t="s">
        <v>1015</v>
      </c>
      <c r="C123" s="159"/>
      <c r="D123" s="23"/>
      <c r="E123" s="240"/>
      <c r="F123" s="559">
        <f>IF(SUM(F124:F126)&gt;=1,1,"")</f>
        <v>1</v>
      </c>
      <c r="G123" s="243"/>
      <c r="H123" s="265"/>
    </row>
    <row r="124" spans="2:9" ht="14.25" customHeight="1">
      <c r="B124" s="406" t="str">
        <f>IFERROR(VLOOKUP(D124,Calcs!B:D,3,FALSE),"")</f>
        <v>Adventure Complete Column Wrap (67" x 4.875" x 3.5" x 1.375" )</v>
      </c>
      <c r="C124" s="403" t="s">
        <v>993</v>
      </c>
      <c r="D124" t="s">
        <v>447</v>
      </c>
      <c r="E124" s="395"/>
      <c r="F124" s="391">
        <f>IFERROR(VLOOKUP(D124,Calcs!B:F,5,FALSE),"")</f>
        <v>2</v>
      </c>
      <c r="G124" s="243">
        <f>IFERROR(VLOOKUP(D124,Calcs!B:M,11,FALSE),"")</f>
        <v>221.13</v>
      </c>
      <c r="H124" s="265">
        <f>IFERROR(VLOOKUP(D124,Calcs!B:N,12,FALSE),"")</f>
        <v>442.26</v>
      </c>
    </row>
    <row r="125" spans="2:9" ht="14.25" customHeight="1">
      <c r="B125" s="406" t="str">
        <f>IFERROR(VLOOKUP(D125,Calcs!B:D,3,FALSE),"")</f>
        <v>Adventure U Shaped Safety Column Wrap (67" x 3.5" x 4.875" x 3.5" x 1.375" )</v>
      </c>
      <c r="C125" s="403" t="s">
        <v>993</v>
      </c>
      <c r="D125" t="s">
        <v>450</v>
      </c>
      <c r="E125" s="395"/>
      <c r="F125" s="391">
        <f>IFERROR(VLOOKUP(D125,Calcs!B:F,5,FALSE),"")</f>
        <v>2</v>
      </c>
      <c r="G125" s="243">
        <f>IFERROR(VLOOKUP(D125,Calcs!B:M,11,FALSE),"")</f>
        <v>236.38</v>
      </c>
      <c r="H125" s="265">
        <f>IFERROR(VLOOKUP(D125,Calcs!B:N,12,FALSE),"")</f>
        <v>472.76</v>
      </c>
    </row>
    <row r="126" spans="2:9" ht="14.25" customHeight="1">
      <c r="B126" s="406" t="str">
        <f>IFERROR(VLOOKUP(D126,Calcs!B:D,3,FALSE),"")</f>
        <v>Adventure U Shaped Column Wrap Ladder Leg (72" x 2" x 3.875" x 2" x 1.375" )</v>
      </c>
      <c r="C126" s="403" t="s">
        <v>993</v>
      </c>
      <c r="D126" t="s">
        <v>452</v>
      </c>
      <c r="E126" s="395"/>
      <c r="F126" s="391">
        <f>IFERROR(VLOOKUP(D126,Calcs!B:F,5,FALSE),"")</f>
        <v>2</v>
      </c>
      <c r="G126" s="243">
        <f>IFERROR(VLOOKUP(D126,Calcs!B:M,11,FALSE),"")</f>
        <v>201.3</v>
      </c>
      <c r="H126" s="265">
        <f>IFERROR(VLOOKUP(D126,Calcs!B:N,12,FALSE),"")</f>
        <v>402.6</v>
      </c>
    </row>
    <row r="127" spans="2:9" ht="14.25" customHeight="1">
      <c r="B127" s="406" t="str">
        <f>IFERROR(VLOOKUP(D127,Calcs!B:D,3,FALSE),"")</f>
        <v/>
      </c>
      <c r="C127" s="282" t="s">
        <v>993</v>
      </c>
      <c r="D127" t="s">
        <v>1016</v>
      </c>
      <c r="E127" s="240"/>
      <c r="F127" s="391" t="str">
        <f>IFERROR(VLOOKUP(D127,Calcs!B:F,5,FALSE),"")</f>
        <v/>
      </c>
      <c r="G127" s="243" t="str">
        <f>IFERROR(VLOOKUP(D127,Calcs!B:M,11,FALSE),"")</f>
        <v/>
      </c>
      <c r="H127" s="265" t="str">
        <f>IFERROR(VLOOKUP(D127,Calcs!B:N,12,FALSE),"")</f>
        <v/>
      </c>
    </row>
    <row r="128" spans="2:9" ht="14.25" customHeight="1">
      <c r="B128" s="406" t="str">
        <f>IFERROR(VLOOKUP(D128,Calcs!B:D,3,FALSE),"")</f>
        <v/>
      </c>
      <c r="C128" s="282"/>
      <c r="D128" t="s">
        <v>1077</v>
      </c>
      <c r="E128" s="240"/>
      <c r="F128" s="391" t="str">
        <f>IFERROR(VLOOKUP(D128,Calcs!B:F,5,FALSE),"")</f>
        <v/>
      </c>
      <c r="G128" s="243" t="str">
        <f>IFERROR(VLOOKUP(D128,Calcs!B:M,11,FALSE),"")</f>
        <v/>
      </c>
      <c r="H128" s="265" t="str">
        <f>IFERROR(VLOOKUP(D128,Calcs!B:N,12,FALSE),"")</f>
        <v/>
      </c>
    </row>
    <row r="129" spans="2:8" ht="14.25" customHeight="1">
      <c r="B129" s="406" t="str">
        <f>IFERROR(VLOOKUP(D129,Calcs!B:D,3,FALSE),"")</f>
        <v/>
      </c>
      <c r="C129" s="282"/>
      <c r="D129" t="s">
        <v>1078</v>
      </c>
      <c r="E129" s="240"/>
      <c r="F129" s="391" t="str">
        <f>IFERROR(VLOOKUP(D129,Calcs!B:F,5,FALSE),"")</f>
        <v/>
      </c>
      <c r="G129" s="243" t="str">
        <f>IFERROR(VLOOKUP(D129,Calcs!B:M,11,FALSE),"")</f>
        <v/>
      </c>
      <c r="H129" s="265" t="str">
        <f>IFERROR(VLOOKUP(D129,Calcs!B:N,12,FALSE),"")</f>
        <v/>
      </c>
    </row>
    <row r="130" spans="2:8" ht="14.25" customHeight="1">
      <c r="B130" s="406" t="str">
        <f>IFERROR(VLOOKUP(D130,Calcs!B:D,3,FALSE),"")</f>
        <v/>
      </c>
      <c r="C130" s="282"/>
      <c r="D130" t="s">
        <v>1079</v>
      </c>
      <c r="E130" s="240"/>
      <c r="F130" s="391" t="str">
        <f>IFERROR(VLOOKUP(D130,Calcs!B:F,5,FALSE),"")</f>
        <v/>
      </c>
      <c r="G130" s="243" t="str">
        <f>IFERROR(VLOOKUP(D130,Calcs!B:M,11,FALSE),"")</f>
        <v/>
      </c>
      <c r="H130" s="265" t="str">
        <f>IFERROR(VLOOKUP(D130,Calcs!B:N,12,FALSE),"")</f>
        <v/>
      </c>
    </row>
    <row r="131" spans="2:8" ht="14.25" customHeight="1">
      <c r="B131" s="406" t="str">
        <f>IFERROR(VLOOKUP(D131,Calcs!B:D,3,FALSE),"")</f>
        <v/>
      </c>
      <c r="C131" s="282"/>
      <c r="D131" t="s">
        <v>1080</v>
      </c>
      <c r="E131" s="240"/>
      <c r="F131" s="391" t="str">
        <f>IFERROR(VLOOKUP(D131,Calcs!B:F,5,FALSE),"")</f>
        <v/>
      </c>
      <c r="G131" s="243" t="str">
        <f>IFERROR(VLOOKUP(D131,Calcs!B:M,11,FALSE),"")</f>
        <v/>
      </c>
      <c r="H131" s="265" t="str">
        <f>IFERROR(VLOOKUP(D131,Calcs!B:N,12,FALSE),"")</f>
        <v/>
      </c>
    </row>
    <row r="132" spans="2:8" ht="14.25" customHeight="1">
      <c r="B132" s="406" t="str">
        <f>IFERROR(VLOOKUP(D132,Calcs!B:D,3,FALSE),"")</f>
        <v/>
      </c>
      <c r="C132" s="282"/>
      <c r="D132" t="s">
        <v>1081</v>
      </c>
      <c r="E132" s="240"/>
      <c r="F132" s="391" t="str">
        <f>IFERROR(VLOOKUP(D132,Calcs!B:F,5,FALSE),"")</f>
        <v/>
      </c>
      <c r="G132" s="243" t="str">
        <f>IFERROR(VLOOKUP(D132,Calcs!B:M,11,FALSE),"")</f>
        <v/>
      </c>
      <c r="H132" s="265" t="str">
        <f>IFERROR(VLOOKUP(D132,Calcs!B:N,12,FALSE),"")</f>
        <v/>
      </c>
    </row>
    <row r="133" spans="2:8" ht="14.25" customHeight="1">
      <c r="B133" s="406" t="str">
        <f>IFERROR(VLOOKUP(D133,Calcs!B:D,3,FALSE),"")</f>
        <v/>
      </c>
      <c r="C133" s="282"/>
      <c r="D133" t="s">
        <v>1082</v>
      </c>
      <c r="E133" s="240"/>
      <c r="F133" s="391" t="str">
        <f>IFERROR(VLOOKUP(D133,Calcs!B:F,5,FALSE),"")</f>
        <v/>
      </c>
      <c r="G133" s="243" t="str">
        <f>IFERROR(VLOOKUP(D133,Calcs!B:M,11,FALSE),"")</f>
        <v/>
      </c>
      <c r="H133" s="265" t="str">
        <f>IFERROR(VLOOKUP(D133,Calcs!B:N,12,FALSE),"")</f>
        <v/>
      </c>
    </row>
    <row r="134" spans="2:8" ht="14.25" customHeight="1">
      <c r="B134" s="406" t="str">
        <f>IFERROR(VLOOKUP(D134,Calcs!B:D,3,FALSE),"")</f>
        <v/>
      </c>
      <c r="C134" s="282"/>
      <c r="D134" t="s">
        <v>1083</v>
      </c>
      <c r="E134" s="240"/>
      <c r="F134" s="391" t="str">
        <f>IFERROR(VLOOKUP(D134,Calcs!B:F,5,FALSE),"")</f>
        <v/>
      </c>
      <c r="G134" s="243" t="str">
        <f>IFERROR(VLOOKUP(D134,Calcs!B:M,11,FALSE),"")</f>
        <v/>
      </c>
      <c r="H134" s="265" t="str">
        <f>IFERROR(VLOOKUP(D134,Calcs!B:N,12,FALSE),"")</f>
        <v/>
      </c>
    </row>
    <row r="135" spans="2:8" ht="14.25" customHeight="1">
      <c r="B135" s="406" t="str">
        <f>IFERROR(VLOOKUP(D135,Calcs!B:D,3,FALSE),"")</f>
        <v/>
      </c>
      <c r="C135" s="282"/>
      <c r="D135" t="s">
        <v>1084</v>
      </c>
      <c r="E135" s="240"/>
      <c r="F135" s="391" t="str">
        <f>IFERROR(VLOOKUP(D135,Calcs!B:F,5,FALSE),"")</f>
        <v/>
      </c>
      <c r="G135" s="243" t="str">
        <f>IFERROR(VLOOKUP(D135,Calcs!B:M,11,FALSE),"")</f>
        <v/>
      </c>
      <c r="H135" s="265" t="str">
        <f>IFERROR(VLOOKUP(D135,Calcs!B:N,12,FALSE),"")</f>
        <v/>
      </c>
    </row>
    <row r="136" spans="2:8" ht="14.25" customHeight="1">
      <c r="B136" s="406" t="str">
        <f>IFERROR(VLOOKUP(D136,Calcs!B:D,3,FALSE),"")</f>
        <v/>
      </c>
      <c r="C136" s="282"/>
      <c r="D136" t="s">
        <v>1085</v>
      </c>
      <c r="E136" s="240"/>
      <c r="F136" s="391" t="str">
        <f>IFERROR(VLOOKUP(D136,Calcs!B:F,5,FALSE),"")</f>
        <v/>
      </c>
      <c r="G136" s="243" t="str">
        <f>IFERROR(VLOOKUP(D136,Calcs!B:M,11,FALSE),"")</f>
        <v/>
      </c>
      <c r="H136" s="265" t="str">
        <f>IFERROR(VLOOKUP(D136,Calcs!B:N,12,FALSE),"")</f>
        <v/>
      </c>
    </row>
    <row r="137" spans="2:8" ht="14.25" customHeight="1">
      <c r="B137" s="406" t="str">
        <f>IFERROR(VLOOKUP(D137,Calcs!B:D,3,FALSE),"")</f>
        <v/>
      </c>
      <c r="C137" s="282"/>
      <c r="D137" t="s">
        <v>1086</v>
      </c>
      <c r="E137" s="240"/>
      <c r="F137" s="391" t="str">
        <f>IFERROR(VLOOKUP(D137,Calcs!B:F,5,FALSE),"")</f>
        <v/>
      </c>
      <c r="G137" s="243" t="str">
        <f>IFERROR(VLOOKUP(D137,Calcs!B:M,11,FALSE),"")</f>
        <v/>
      </c>
      <c r="H137" s="265" t="str">
        <f>IFERROR(VLOOKUP(D137,Calcs!B:N,12,FALSE),"")</f>
        <v/>
      </c>
    </row>
    <row r="138" spans="2:8" ht="14.25" customHeight="1">
      <c r="B138" s="406" t="str">
        <f>IFERROR(VLOOKUP(D138,Calcs!B:D,3,FALSE),"")</f>
        <v/>
      </c>
      <c r="C138" s="282"/>
      <c r="D138" t="s">
        <v>1087</v>
      </c>
      <c r="E138" s="240"/>
      <c r="F138" s="391" t="str">
        <f>IFERROR(VLOOKUP(D138,Calcs!B:F,5,FALSE),"")</f>
        <v/>
      </c>
      <c r="G138" s="243" t="str">
        <f>IFERROR(VLOOKUP(D138,Calcs!B:M,11,FALSE),"")</f>
        <v/>
      </c>
      <c r="H138" s="265" t="str">
        <f>IFERROR(VLOOKUP(D138,Calcs!B:N,12,FALSE),"")</f>
        <v/>
      </c>
    </row>
    <row r="139" spans="2:8" ht="14.25" customHeight="1">
      <c r="B139" s="406" t="str">
        <f>IFERROR(VLOOKUP(D139,Calcs!B:D,3,FALSE),"")</f>
        <v/>
      </c>
      <c r="C139" s="282"/>
      <c r="D139" t="s">
        <v>1088</v>
      </c>
      <c r="E139" s="240"/>
      <c r="F139" s="391" t="str">
        <f>IFERROR(VLOOKUP(D139,Calcs!B:F,5,FALSE),"")</f>
        <v/>
      </c>
      <c r="G139" s="243" t="str">
        <f>IFERROR(VLOOKUP(D139,Calcs!B:M,11,FALSE),"")</f>
        <v/>
      </c>
      <c r="H139" s="265" t="str">
        <f>IFERROR(VLOOKUP(D139,Calcs!B:N,12,FALSE),"")</f>
        <v/>
      </c>
    </row>
    <row r="140" spans="2:8" ht="14.25" customHeight="1">
      <c r="B140" s="406" t="str">
        <f>IFERROR(VLOOKUP(D140,Calcs!B:D,3,FALSE),"")</f>
        <v/>
      </c>
      <c r="C140" s="282"/>
      <c r="D140" t="s">
        <v>1089</v>
      </c>
      <c r="E140" s="240"/>
      <c r="F140" s="391" t="str">
        <f>IFERROR(VLOOKUP(D140,Calcs!B:F,5,FALSE),"")</f>
        <v/>
      </c>
      <c r="G140" s="243" t="str">
        <f>IFERROR(VLOOKUP(D140,Calcs!B:M,11,FALSE),"")</f>
        <v/>
      </c>
      <c r="H140" s="265" t="str">
        <f>IFERROR(VLOOKUP(D140,Calcs!B:N,12,FALSE),"")</f>
        <v/>
      </c>
    </row>
    <row r="141" spans="2:8">
      <c r="B141" s="406" t="str">
        <f>IFERROR(VLOOKUP(D141,Calcs!B:D,3,FALSE),"")</f>
        <v/>
      </c>
      <c r="C141" s="282" t="s">
        <v>993</v>
      </c>
      <c r="D141" s="354" t="s">
        <v>502</v>
      </c>
      <c r="E141" s="240"/>
      <c r="F141" s="391" t="str">
        <f>IFERROR(VLOOKUP(D141,Calcs!B:F,5,FALSE),"")</f>
        <v/>
      </c>
      <c r="G141" s="243" t="str">
        <f>IFERROR(VLOOKUP(D141,Calcs!B:M,11,FALSE),"")</f>
        <v/>
      </c>
      <c r="H141" s="265" t="str">
        <f>IFERROR(VLOOKUP(D141,Calcs!B:N,12,FALSE),"")</f>
        <v/>
      </c>
    </row>
    <row r="142" spans="2:8" ht="14.25" customHeight="1">
      <c r="B142" s="35" t="str">
        <f>IFERROR(VLOOKUP(D142,Calcs!B:D,3,FALSE),"")</f>
        <v/>
      </c>
      <c r="C142" s="282"/>
      <c r="D142" s="354" t="s">
        <v>549</v>
      </c>
      <c r="E142" s="240"/>
      <c r="F142" s="250" t="str">
        <f>IFERROR(VLOOKUP(D142,Calcs!B:F,5,FALSE),"")</f>
        <v/>
      </c>
      <c r="G142" s="243" t="str">
        <f>IFERROR(VLOOKUP(D142,Calcs!B:M,11,FALSE),"")</f>
        <v/>
      </c>
      <c r="H142" s="265" t="str">
        <f>IFERROR(VLOOKUP(D142,Calcs!B:N,12,FALSE),"")</f>
        <v/>
      </c>
    </row>
    <row r="143" spans="2:8" ht="14.25" customHeight="1">
      <c r="B143" s="35" t="str">
        <f>IFERROR(VLOOKUP(D143,Calcs!B:D,3,FALSE),"")</f>
        <v/>
      </c>
      <c r="C143" s="282"/>
      <c r="D143" s="354" t="s">
        <v>551</v>
      </c>
      <c r="E143" s="240"/>
      <c r="F143" s="250" t="str">
        <f>IFERROR(VLOOKUP(D143,Calcs!B:F,5,FALSE),"")</f>
        <v/>
      </c>
      <c r="G143" s="243" t="str">
        <f>IFERROR(VLOOKUP(D143,Calcs!B:M,11,FALSE),"")</f>
        <v/>
      </c>
      <c r="H143" s="265" t="str">
        <f>IFERROR(VLOOKUP(D143,Calcs!B:N,12,FALSE),"")</f>
        <v/>
      </c>
    </row>
    <row r="144" spans="2:8" ht="14.25" customHeight="1">
      <c r="B144" s="35" t="str">
        <f>IFERROR(VLOOKUP(D144,Calcs!B:D,3,FALSE),"")</f>
        <v/>
      </c>
      <c r="C144" s="282" t="s">
        <v>993</v>
      </c>
      <c r="D144" s="354" t="s">
        <v>508</v>
      </c>
      <c r="E144" s="240"/>
      <c r="F144" s="250" t="str">
        <f>IFERROR(VLOOKUP(D144,Calcs!B:F,5,FALSE),"")</f>
        <v/>
      </c>
      <c r="G144" s="243" t="str">
        <f>IFERROR(VLOOKUP(D144,Calcs!B:M,11,FALSE),"")</f>
        <v/>
      </c>
      <c r="H144" s="265" t="str">
        <f>IFERROR(VLOOKUP(D144,Calcs!B:N,12,FALSE),"")</f>
        <v/>
      </c>
    </row>
    <row r="145" spans="2:8" ht="14.25" customHeight="1">
      <c r="B145" s="35" t="str">
        <f>IFERROR(VLOOKUP(D145,Calcs!B:D,3,FALSE),"")</f>
        <v/>
      </c>
      <c r="C145" s="282" t="s">
        <v>993</v>
      </c>
      <c r="D145" s="354" t="s">
        <v>510</v>
      </c>
      <c r="E145" s="239"/>
      <c r="F145" s="250" t="str">
        <f>IFERROR(VLOOKUP(D145,Calcs!B:F,5,FALSE),"")</f>
        <v/>
      </c>
      <c r="G145" s="243" t="str">
        <f>IFERROR(VLOOKUP(D145,Calcs!B:M,11,FALSE),"")</f>
        <v/>
      </c>
      <c r="H145" s="265" t="str">
        <f>IFERROR(VLOOKUP(D145,Calcs!B:N,12,FALSE),"")</f>
        <v/>
      </c>
    </row>
    <row r="146" spans="2:8" ht="14.25" customHeight="1">
      <c r="B146" s="35" t="str">
        <f>IFERROR(VLOOKUP(D146,Calcs!B:D,3,FALSE),"")</f>
        <v/>
      </c>
      <c r="C146" s="282" t="s">
        <v>993</v>
      </c>
      <c r="D146" s="354" t="s">
        <v>512</v>
      </c>
      <c r="E146" s="239"/>
      <c r="F146" s="250" t="str">
        <f>IFERROR(VLOOKUP(D146,Calcs!B:F,5,FALSE),"")</f>
        <v/>
      </c>
      <c r="G146" s="243" t="str">
        <f>IFERROR(VLOOKUP(D146,Calcs!B:M,11,FALSE),"")</f>
        <v/>
      </c>
      <c r="H146" s="265" t="str">
        <f>IFERROR(VLOOKUP(D146,Calcs!B:N,12,FALSE),"")</f>
        <v/>
      </c>
    </row>
    <row r="147" spans="2:8" ht="14.25" customHeight="1">
      <c r="B147" s="35" t="str">
        <f>IFERROR(VLOOKUP(D147,Calcs!B:D,3,FALSE),"")</f>
        <v/>
      </c>
      <c r="C147" s="282" t="s">
        <v>993</v>
      </c>
      <c r="D147" s="354" t="s">
        <v>514</v>
      </c>
      <c r="E147" s="239"/>
      <c r="F147" s="250" t="str">
        <f>IFERROR(VLOOKUP(D147,Calcs!B:F,5,FALSE),"")</f>
        <v/>
      </c>
      <c r="G147" s="243" t="str">
        <f>IFERROR(VLOOKUP(D147,Calcs!B:M,11,FALSE),"")</f>
        <v/>
      </c>
      <c r="H147" s="265" t="str">
        <f>IFERROR(VLOOKUP(D147,Calcs!B:N,12,FALSE),"")</f>
        <v/>
      </c>
    </row>
    <row r="148" spans="2:8" ht="14.25" customHeight="1">
      <c r="B148" s="35" t="str">
        <f>IFERROR(VLOOKUP(D148,Calcs!B:D,3,FALSE),"")</f>
        <v/>
      </c>
      <c r="C148" s="282" t="s">
        <v>993</v>
      </c>
      <c r="D148" s="354" t="s">
        <v>535</v>
      </c>
      <c r="E148" s="239"/>
      <c r="F148" s="250" t="str">
        <f>IFERROR(VLOOKUP(D148,Calcs!B:F,5,FALSE),"")</f>
        <v/>
      </c>
      <c r="G148" s="243" t="str">
        <f>IFERROR(VLOOKUP(D148,Calcs!B:M,11,FALSE),"")</f>
        <v/>
      </c>
      <c r="H148" s="265" t="str">
        <f>IFERROR(VLOOKUP(D148,Calcs!B:N,12,FALSE),"")</f>
        <v/>
      </c>
    </row>
    <row r="149" spans="2:8" ht="14.25" customHeight="1">
      <c r="B149" s="35" t="str">
        <f>IFERROR(VLOOKUP(D149,Calcs!B:D,3,FALSE),"")</f>
        <v/>
      </c>
      <c r="C149" s="282" t="s">
        <v>993</v>
      </c>
      <c r="D149" s="354" t="s">
        <v>537</v>
      </c>
      <c r="E149" s="239"/>
      <c r="F149" s="250" t="str">
        <f>IFERROR(VLOOKUP(D149,Calcs!B:F,5,FALSE),"")</f>
        <v/>
      </c>
      <c r="G149" s="243" t="str">
        <f>IFERROR(VLOOKUP(D149,Calcs!B:M,11,FALSE),"")</f>
        <v/>
      </c>
      <c r="H149" s="265" t="str">
        <f>IFERROR(VLOOKUP(D149,Calcs!B:N,12,FALSE),"")</f>
        <v/>
      </c>
    </row>
    <row r="150" spans="2:8" ht="14.25" customHeight="1">
      <c r="B150" s="35" t="str">
        <f>IFERROR(VLOOKUP(D150,Calcs!B:D,3,FALSE),"")</f>
        <v/>
      </c>
      <c r="C150" s="282" t="s">
        <v>993</v>
      </c>
      <c r="D150" s="354" t="s">
        <v>533</v>
      </c>
      <c r="E150" s="239"/>
      <c r="F150" s="250" t="str">
        <f>IFERROR(VLOOKUP(D150,Calcs!B:F,5,FALSE),"")</f>
        <v/>
      </c>
      <c r="G150" s="243" t="str">
        <f>IFERROR(VLOOKUP(D150,Calcs!B:M,11,FALSE),"")</f>
        <v/>
      </c>
      <c r="H150" s="265" t="str">
        <f>IFERROR(VLOOKUP(D150,Calcs!B:N,12,FALSE),"")</f>
        <v/>
      </c>
    </row>
    <row r="151" spans="2:8" ht="14.25" customHeight="1">
      <c r="B151" s="35" t="str">
        <f>IFERROR(VLOOKUP(D151,Calcs!B:D,3,FALSE),"")</f>
        <v/>
      </c>
      <c r="C151" s="282" t="s">
        <v>993</v>
      </c>
      <c r="D151" s="488">
        <v>24722</v>
      </c>
      <c r="E151" s="239"/>
      <c r="F151" s="250" t="str">
        <f>IFERROR(VLOOKUP(D151,Calcs!B:F,5,FALSE),"")</f>
        <v/>
      </c>
      <c r="G151" s="243" t="str">
        <f>IFERROR(VLOOKUP(D151,Calcs!B:M,11,FALSE),"")</f>
        <v/>
      </c>
      <c r="H151" s="265" t="str">
        <f>IFERROR(VLOOKUP(D151,Calcs!B:N,12,FALSE),"")</f>
        <v/>
      </c>
    </row>
    <row r="152" spans="2:8" ht="14.25" customHeight="1">
      <c r="B152" s="35" t="str">
        <f>IFERROR(VLOOKUP(D152,Calcs!B:D,3,FALSE),"")</f>
        <v/>
      </c>
      <c r="C152" s="282" t="s">
        <v>993</v>
      </c>
      <c r="D152" s="148">
        <v>48722</v>
      </c>
      <c r="E152" s="239"/>
      <c r="F152" s="250" t="str">
        <f>IFERROR(VLOOKUP(D152,Calcs!B:F,5,FALSE),"")</f>
        <v/>
      </c>
      <c r="G152" s="243" t="str">
        <f>IFERROR(VLOOKUP(D152,Calcs!B:M,11,FALSE),"")</f>
        <v/>
      </c>
      <c r="H152" s="265" t="str">
        <f>IFERROR(VLOOKUP(D152,Calcs!B:N,12,FALSE),"")</f>
        <v/>
      </c>
    </row>
    <row r="153" spans="2:8" ht="14.25" customHeight="1">
      <c r="B153" s="163" t="str">
        <f>IFERROR(VLOOKUP(D153,Calcs!B:D,3,FALSE),"")</f>
        <v/>
      </c>
      <c r="C153" s="282"/>
      <c r="D153" s="148" t="s">
        <v>500</v>
      </c>
      <c r="E153" s="239"/>
      <c r="F153" s="250" t="str">
        <f>IFERROR(VLOOKUP(D153,Calcs!B:F,5,FALSE),"")</f>
        <v/>
      </c>
      <c r="G153" s="243" t="str">
        <f>IFERROR(VLOOKUP(D153,Calcs!B:M,11,FALSE),"")</f>
        <v/>
      </c>
      <c r="H153" s="265" t="str">
        <f>IFERROR(VLOOKUP(D153,Calcs!B:N,12,FALSE),"")</f>
        <v/>
      </c>
    </row>
    <row r="154" spans="2:8">
      <c r="B154" s="583" t="str">
        <f>IF(F153=1,"*Includes customer’s logo professionally printed and applied to all mats and padding. One-time setup and application fee. Customer to Provide Logo Files","")</f>
        <v/>
      </c>
      <c r="C154" s="282"/>
      <c r="D154" s="148"/>
      <c r="E154" s="239"/>
      <c r="F154" s="559" t="str">
        <f>F153</f>
        <v/>
      </c>
      <c r="G154" s="243"/>
      <c r="H154" s="265"/>
    </row>
    <row r="155" spans="2:8" ht="14.25" customHeight="1">
      <c r="B155" s="550" t="s">
        <v>1022</v>
      </c>
      <c r="C155" s="282"/>
      <c r="D155" s="148"/>
      <c r="E155" s="239"/>
      <c r="F155" s="392" t="str">
        <f>IF(F156=1,1,"")</f>
        <v/>
      </c>
      <c r="G155" s="243"/>
      <c r="H155" s="265"/>
    </row>
    <row r="156" spans="2:8" ht="14.25" customHeight="1">
      <c r="B156" s="163" t="str">
        <f>IFERROR(VLOOKUP(D156,Calcs!B:D,3,FALSE),"")</f>
        <v/>
      </c>
      <c r="C156" s="282" t="s">
        <v>993</v>
      </c>
      <c r="D156" s="354" t="s">
        <v>516</v>
      </c>
      <c r="E156" s="241" t="s">
        <v>1023</v>
      </c>
      <c r="F156" s="250" t="str">
        <f>IFERROR(VLOOKUP(D156,Calcs!B:F,5,FALSE),"")</f>
        <v/>
      </c>
      <c r="G156" s="243" t="str">
        <f>IFERROR(VLOOKUP(D156,Calcs!B:M,11,FALSE),"")</f>
        <v/>
      </c>
      <c r="H156" s="265" t="str">
        <f>IFERROR(VLOOKUP(D156,Calcs!B:N,12,FALSE),"")</f>
        <v/>
      </c>
    </row>
    <row r="157" spans="2:8" ht="14.25" customHeight="1">
      <c r="B157" s="35" t="str">
        <f>IFERROR(VLOOKUP(D157,Calcs!B:D,3,FALSE),"")</f>
        <v/>
      </c>
      <c r="C157" s="282" t="s">
        <v>993</v>
      </c>
      <c r="D157" s="354" t="s">
        <v>520</v>
      </c>
      <c r="E157" s="241" t="s">
        <v>1024</v>
      </c>
      <c r="F157" s="250" t="str">
        <f>IFERROR(VLOOKUP(D157,Calcs!B:F,5,FALSE),"")</f>
        <v/>
      </c>
      <c r="G157" s="243" t="str">
        <f>IFERROR(VLOOKUP(D157,Calcs!B:M,11,FALSE),"")</f>
        <v/>
      </c>
      <c r="H157" s="265" t="str">
        <f>IFERROR(VLOOKUP(D157,Calcs!B:N,12,FALSE),"")</f>
        <v/>
      </c>
    </row>
    <row r="158" spans="2:8" ht="14.25" customHeight="1">
      <c r="B158" s="35" t="str">
        <f>IFERROR(VLOOKUP(D158,Calcs!B:D,3,FALSE),"")</f>
        <v/>
      </c>
      <c r="C158" s="282" t="s">
        <v>993</v>
      </c>
      <c r="D158" s="354" t="s">
        <v>523</v>
      </c>
      <c r="E158" s="241" t="s">
        <v>1024</v>
      </c>
      <c r="F158" s="250" t="str">
        <f>IFERROR(VLOOKUP(D158,Calcs!B:F,5,FALSE),"")</f>
        <v/>
      </c>
      <c r="G158" s="243" t="str">
        <f>IFERROR(VLOOKUP(D158,Calcs!B:M,11,FALSE),"")</f>
        <v/>
      </c>
      <c r="H158" s="265" t="str">
        <f>IFERROR(VLOOKUP(D158,Calcs!B:N,12,FALSE),"")</f>
        <v/>
      </c>
    </row>
    <row r="159" spans="2:8" ht="14.25" customHeight="1">
      <c r="B159" s="35" t="str">
        <f>IFERROR(VLOOKUP(D159,Calcs!B:D,3,FALSE),"")</f>
        <v/>
      </c>
      <c r="C159" s="282" t="s">
        <v>993</v>
      </c>
      <c r="D159" s="354" t="s">
        <v>525</v>
      </c>
      <c r="E159" s="241" t="s">
        <v>1024</v>
      </c>
      <c r="F159" s="250" t="str">
        <f>IFERROR(VLOOKUP(D159,Calcs!B:F,5,FALSE),"")</f>
        <v/>
      </c>
      <c r="G159" s="243" t="str">
        <f>IFERROR(VLOOKUP(D159,Calcs!B:M,11,FALSE),"")</f>
        <v/>
      </c>
      <c r="H159" s="265" t="str">
        <f>IFERROR(VLOOKUP(D159,Calcs!B:N,12,FALSE),"")</f>
        <v/>
      </c>
    </row>
    <row r="160" spans="2:8" ht="14.25" customHeight="1">
      <c r="B160" s="35" t="str">
        <f>IFERROR(VLOOKUP(D160,Calcs!B:D,3,FALSE),"")</f>
        <v/>
      </c>
      <c r="C160" s="282" t="s">
        <v>993</v>
      </c>
      <c r="D160" s="354" t="s">
        <v>531</v>
      </c>
      <c r="E160" s="241" t="s">
        <v>1025</v>
      </c>
      <c r="F160" s="250" t="str">
        <f>IFERROR(VLOOKUP(D160,Calcs!B:F,5,FALSE),"")</f>
        <v/>
      </c>
      <c r="G160" s="243" t="str">
        <f>IFERROR(VLOOKUP(D160,Calcs!B:M,11,FALSE),"")</f>
        <v/>
      </c>
      <c r="H160" s="265" t="str">
        <f>IFERROR(VLOOKUP(D160,Calcs!B:N,12,FALSE),"")</f>
        <v/>
      </c>
    </row>
    <row r="161" spans="2:8" ht="14.25" customHeight="1">
      <c r="B161" s="35" t="str">
        <f>IFERROR(VLOOKUP(D161,Calcs!B:D,3,FALSE),"")</f>
        <v/>
      </c>
      <c r="C161" s="282" t="s">
        <v>993</v>
      </c>
      <c r="D161" s="354" t="s">
        <v>547</v>
      </c>
      <c r="E161" s="241" t="s">
        <v>1025</v>
      </c>
      <c r="F161" s="250" t="str">
        <f>IFERROR(VLOOKUP(D161,Calcs!B:F,5,FALSE),"")</f>
        <v/>
      </c>
      <c r="G161" s="243" t="str">
        <f>IFERROR(VLOOKUP(D161,Calcs!B:M,11,FALSE),"")</f>
        <v/>
      </c>
      <c r="H161" s="265" t="str">
        <f>IFERROR(VLOOKUP(D161,Calcs!B:N,12,FALSE),"")</f>
        <v/>
      </c>
    </row>
    <row r="162" spans="2:8" ht="14.25" customHeight="1">
      <c r="B162" s="555" t="str">
        <f>IF(F162&gt;=1,"*Please allow 8-10 weeks for manufacturing &amp; delivery of all mat systems","")</f>
        <v>*Please allow 8-10 weeks for manufacturing &amp; delivery of all mat systems</v>
      </c>
      <c r="C162" s="389"/>
      <c r="D162" s="354"/>
      <c r="E162" s="390"/>
      <c r="F162" s="392">
        <f>SUM(F122:F161)</f>
        <v>7</v>
      </c>
      <c r="G162" s="243"/>
      <c r="H162" s="265"/>
    </row>
    <row r="163" spans="2:8" ht="14.25" customHeight="1">
      <c r="B163" s="555" t="str">
        <f>IF(F162&gt;=1,"*All column wraps &amp; floor padding colors will be determined after proposal is signed","")</f>
        <v>*All column wraps &amp; floor padding colors will be determined after proposal is signed</v>
      </c>
      <c r="C163" s="389"/>
      <c r="D163" s="354"/>
      <c r="E163" s="390"/>
      <c r="F163" s="392">
        <f>SUM(F122:F161)</f>
        <v>7</v>
      </c>
      <c r="G163" s="243"/>
      <c r="H163" s="265"/>
    </row>
    <row r="164" spans="2:8" ht="14.25" customHeight="1">
      <c r="B164" s="393" t="s">
        <v>405</v>
      </c>
      <c r="C164" s="389"/>
      <c r="D164" s="354"/>
      <c r="E164" s="390"/>
      <c r="F164" s="392" t="s">
        <v>978</v>
      </c>
      <c r="G164" s="244"/>
      <c r="H164" s="269">
        <f>SUM(H122:H161)</f>
        <v>1317.62</v>
      </c>
    </row>
    <row r="165" spans="2:8" ht="14.25" customHeight="1">
      <c r="B165" s="393"/>
      <c r="C165" s="389"/>
      <c r="D165" s="354"/>
      <c r="E165" s="390"/>
      <c r="F165" s="392" t="s">
        <v>979</v>
      </c>
      <c r="G165" s="244"/>
      <c r="H165" s="269"/>
    </row>
    <row r="166" spans="2:8" ht="14.25" customHeight="1">
      <c r="B166" s="631" t="s">
        <v>1026</v>
      </c>
      <c r="C166" s="589"/>
      <c r="D166" s="590"/>
      <c r="E166" s="591"/>
      <c r="F166" s="409" t="s">
        <v>976</v>
      </c>
      <c r="G166" s="592"/>
      <c r="H166" s="593"/>
    </row>
    <row r="167" spans="2:8" ht="14.25" customHeight="1">
      <c r="B167" s="632" t="s">
        <v>981</v>
      </c>
      <c r="C167" s="282"/>
      <c r="D167" s="594"/>
      <c r="E167" s="241"/>
      <c r="F167" s="392" t="s">
        <v>1027</v>
      </c>
      <c r="G167" s="243"/>
      <c r="H167" s="265"/>
    </row>
    <row r="168" spans="2:8" ht="14.25" customHeight="1">
      <c r="B168" s="633" t="s">
        <v>1028</v>
      </c>
      <c r="C168" s="282"/>
      <c r="D168" s="594"/>
      <c r="E168" s="241"/>
      <c r="F168" s="559" t="str">
        <f>IF(SUM(F169:F173)&gt;=1,1,"")</f>
        <v/>
      </c>
      <c r="G168" s="243"/>
      <c r="H168" s="265"/>
    </row>
    <row r="169" spans="2:8" ht="14.25" customHeight="1">
      <c r="B169" s="163" t="str">
        <f>IFERROR(VLOOKUP(D169,Calcs!B:D,3,FALSE),"")</f>
        <v/>
      </c>
      <c r="C169" s="282"/>
      <c r="D169" s="354" t="s">
        <v>636</v>
      </c>
      <c r="E169" s="241"/>
      <c r="F169" s="250" t="str">
        <f>IFERROR(VLOOKUP(D169,Calcs!B:F,5,FALSE),"")</f>
        <v/>
      </c>
      <c r="G169" s="243" t="str">
        <f>IFERROR(VLOOKUP(D169,Calcs!B:M,11,FALSE),"")</f>
        <v/>
      </c>
      <c r="H169" s="265" t="str">
        <f>IFERROR(VLOOKUP(D169,Calcs!B:N,12,FALSE),"")</f>
        <v/>
      </c>
    </row>
    <row r="170" spans="2:8" ht="14.25" customHeight="1">
      <c r="B170" s="595" t="s">
        <v>1029</v>
      </c>
      <c r="C170" s="282"/>
      <c r="D170" s="354"/>
      <c r="E170" s="241"/>
      <c r="F170" s="392" t="str">
        <f>F169</f>
        <v/>
      </c>
      <c r="G170" s="243" t="str">
        <f>IFERROR(VLOOKUP(D170,Calcs!B:M,11,FALSE),"")</f>
        <v/>
      </c>
      <c r="H170" s="265" t="str">
        <f>IFERROR(VLOOKUP(D170,Calcs!B:N,12,FALSE),"")</f>
        <v/>
      </c>
    </row>
    <row r="171" spans="2:8" ht="14.25" customHeight="1">
      <c r="B171" s="163" t="str">
        <f>IFERROR(VLOOKUP(D171,Calcs!B:D,3,FALSE),"")</f>
        <v/>
      </c>
      <c r="C171" s="282"/>
      <c r="D171" s="354" t="s">
        <v>638</v>
      </c>
      <c r="E171" s="241"/>
      <c r="F171" s="250" t="str">
        <f>IFERROR(VLOOKUP(D171,Calcs!B:F,5,FALSE),"")</f>
        <v/>
      </c>
      <c r="G171" s="243" t="str">
        <f>IFERROR(VLOOKUP(D171,Calcs!B:M,11,FALSE),"")</f>
        <v/>
      </c>
      <c r="H171" s="265" t="str">
        <f>IFERROR(VLOOKUP(D171,Calcs!B:N,12,FALSE),"")</f>
        <v/>
      </c>
    </row>
    <row r="172" spans="2:8" ht="14.25" customHeight="1">
      <c r="B172" s="163" t="str">
        <f>IFERROR(VLOOKUP(D172,Calcs!B:D,3,FALSE),"")</f>
        <v/>
      </c>
      <c r="C172" s="282"/>
      <c r="D172" s="354" t="s">
        <v>632</v>
      </c>
      <c r="E172" s="241" t="s">
        <v>1030</v>
      </c>
      <c r="F172" s="250" t="str">
        <f>IFERROR(VLOOKUP(D172,Calcs!B:F,5,FALSE),"")</f>
        <v/>
      </c>
      <c r="G172" s="243" t="str">
        <f>IFERROR(VLOOKUP(D172,Calcs!B:M,11,FALSE),"")</f>
        <v/>
      </c>
      <c r="H172" s="265" t="str">
        <f>IFERROR(VLOOKUP(D172,Calcs!B:N,12,FALSE),"")</f>
        <v/>
      </c>
    </row>
    <row r="173" spans="2:8" ht="14.25" customHeight="1">
      <c r="B173" s="163" t="str">
        <f>IFERROR(VLOOKUP(D173,Calcs!B:D,3,FALSE),"")</f>
        <v/>
      </c>
      <c r="C173" s="282"/>
      <c r="D173" s="354" t="s">
        <v>634</v>
      </c>
      <c r="E173" s="241" t="s">
        <v>1030</v>
      </c>
      <c r="F173" s="250" t="str">
        <f>IFERROR(VLOOKUP(D173,Calcs!B:F,5,FALSE),"")</f>
        <v/>
      </c>
      <c r="G173" s="243" t="str">
        <f>IFERROR(VLOOKUP(D173,Calcs!B:M,11,FALSE),"")</f>
        <v/>
      </c>
      <c r="H173" s="265" t="str">
        <f>IFERROR(VLOOKUP(D173,Calcs!B:N,12,FALSE),"")</f>
        <v/>
      </c>
    </row>
    <row r="174" spans="2:8" ht="14.25" customHeight="1">
      <c r="B174" s="557" t="str">
        <f>IF(F169&gt;0.99,"Passthrough Freight Charge (Required)","")</f>
        <v>Passthrough Freight Charge (Required)</v>
      </c>
      <c r="C174" s="282"/>
      <c r="D174" s="144" t="s">
        <v>628</v>
      </c>
      <c r="E174" s="241"/>
      <c r="F174" s="250">
        <f>IF(H166=1,1,0)</f>
        <v>0</v>
      </c>
      <c r="G174" s="243"/>
      <c r="H174" s="561" t="str">
        <f>IF(F174=1,VLOOKUP(D174,Calcs!B:N,12,FALSE),"")</f>
        <v/>
      </c>
    </row>
    <row r="175" spans="2:8" ht="14.25" customHeight="1">
      <c r="B175" s="393" t="s">
        <v>405</v>
      </c>
      <c r="C175" s="389"/>
      <c r="D175" s="354"/>
      <c r="E175" s="390"/>
      <c r="F175" s="392"/>
      <c r="G175" s="244"/>
      <c r="H175" s="269">
        <f>SUM(H169:H174)</f>
        <v>0</v>
      </c>
    </row>
    <row r="176" spans="2:8" ht="14.25" customHeight="1">
      <c r="B176" s="393"/>
      <c r="C176" s="389"/>
      <c r="D176" s="354"/>
      <c r="E176" s="390"/>
      <c r="F176" s="392" t="s">
        <v>979</v>
      </c>
      <c r="G176" s="244"/>
      <c r="H176" s="267"/>
    </row>
    <row r="177" spans="2:8" ht="14.25" customHeight="1">
      <c r="B177" s="411" t="s">
        <v>342</v>
      </c>
      <c r="C177" s="398"/>
      <c r="D177" s="398"/>
      <c r="E177" s="399"/>
      <c r="F177" s="400" t="s">
        <v>976</v>
      </c>
      <c r="G177" s="249"/>
      <c r="H177" s="266"/>
    </row>
    <row r="178" spans="2:8" ht="15" customHeight="1">
      <c r="B178" s="388" t="s">
        <v>1032</v>
      </c>
      <c r="C178" s="389"/>
      <c r="D178" s="389" t="s">
        <v>724</v>
      </c>
      <c r="E178" s="390"/>
      <c r="F178" s="391">
        <v>1</v>
      </c>
      <c r="G178" s="208">
        <f>Calcs!M222-H185-H181</f>
        <v>895.94999999999993</v>
      </c>
      <c r="H178" s="265">
        <f>F178*G178</f>
        <v>895.94999999999993</v>
      </c>
    </row>
    <row r="179" spans="2:8" ht="15" customHeight="1">
      <c r="B179" s="406" t="str">
        <f>IFERROR(VLOOKUP(D179,Calcs!B:D,3,FALSE),"")</f>
        <v>Quick Shift Saddle Bracket™</v>
      </c>
      <c r="C179" s="389"/>
      <c r="D179" s="389" t="s">
        <v>394</v>
      </c>
      <c r="E179" s="412"/>
      <c r="F179" s="391">
        <f>IF(Calcs!F30&gt;0,(VLOOKUP(D179,Calcs!B:G,5,FALSE)),0)</f>
        <v>4</v>
      </c>
      <c r="G179" s="243">
        <f>IFERROR(VLOOKUP(D179,Calcs!B30:L30,11,FALSE),0)</f>
        <v>117.3</v>
      </c>
      <c r="H179" s="252">
        <f>IFERROR(VLOOKUP(D179,Calcs!B:N,12,FALSE),0)</f>
        <v>469.2</v>
      </c>
    </row>
    <row r="180" spans="2:8">
      <c r="B180" s="417" t="s">
        <v>1033</v>
      </c>
      <c r="C180" s="389"/>
      <c r="D180" s="389"/>
      <c r="E180" s="412"/>
      <c r="F180" s="392">
        <f>F179</f>
        <v>4</v>
      </c>
      <c r="G180" s="243"/>
      <c r="H180" s="252"/>
    </row>
    <row r="181" spans="2:8">
      <c r="B181" s="540" t="str">
        <f>IFERROR(VLOOKUP(D181,Calcs!$B$183:$M$222,3,FALSE),"")</f>
        <v>Swing &amp; Swivel Eye Bolt (for Quick Shift Saddle Bracket™)</v>
      </c>
      <c r="C181" s="389"/>
      <c r="D181" t="s">
        <v>653</v>
      </c>
      <c r="E181" s="412"/>
      <c r="F181" s="391">
        <f>IF(Calcs!F185&gt;0,(VLOOKUP(D181,Calcs!B:G,5,FALSE)),0)</f>
        <v>4</v>
      </c>
      <c r="G181" s="243">
        <f>IFERROR(VLOOKUP(D181,Calcs!$B$183:$M$222,11,FALSE),0)</f>
        <v>158.72999999999999</v>
      </c>
      <c r="H181" s="252">
        <f>IFERROR(VLOOKUP(D181,Calcs!$B$183:$M$222,12,FALSE),0)</f>
        <v>634.91999999999996</v>
      </c>
    </row>
    <row r="182" spans="2:8">
      <c r="B182" s="541" t="s">
        <v>1034</v>
      </c>
      <c r="C182" s="389"/>
      <c r="E182" s="412"/>
      <c r="F182" s="392">
        <f>F181</f>
        <v>4</v>
      </c>
      <c r="G182" s="243"/>
      <c r="H182" s="252"/>
    </row>
    <row r="183" spans="2:8">
      <c r="B183" s="542" t="str">
        <f>IFERROR(VLOOKUP(D183,Calcs!B:D,3,FALSE),"")</f>
        <v/>
      </c>
      <c r="C183" s="23"/>
      <c r="D183" t="s">
        <v>655</v>
      </c>
      <c r="E183" s="239"/>
      <c r="F183" s="250">
        <f>IF(Calcs!F186&gt;0,(VLOOKUP(D183,Calcs!B:G,5,FALSE)),0)</f>
        <v>0</v>
      </c>
      <c r="G183" s="243">
        <f>IFERROR(VLOOKUP(D183,Calcs!$B$183:$M$222,11,FALSE),0)</f>
        <v>0</v>
      </c>
      <c r="H183" s="243">
        <f>IFERROR(VLOOKUP(D183,Calcs!$B$183:$M$222,12,FALSE),0)</f>
        <v>0</v>
      </c>
    </row>
    <row r="184" spans="2:8">
      <c r="B184" s="163" t="str">
        <f>IFERROR(VLOOKUP(D184,Calcs!B:D,3,FALSE),"")</f>
        <v/>
      </c>
      <c r="C184" s="23"/>
      <c r="D184" t="s">
        <v>659</v>
      </c>
      <c r="E184" s="562" t="s">
        <v>1395</v>
      </c>
      <c r="F184" s="391">
        <f>Calcs!F188</f>
        <v>0</v>
      </c>
      <c r="G184" s="243">
        <f>IFERROR(VLOOKUP(D184,Calcs!$B$183:$M$222,11,FALSE),0)</f>
        <v>0</v>
      </c>
      <c r="H184" s="243">
        <f>IFERROR(VLOOKUP(D184,Calcs!$B$183:$M$222,12,FALSE),0)</f>
        <v>0</v>
      </c>
    </row>
    <row r="185" spans="2:8">
      <c r="B185" s="406" t="str">
        <f>IFERROR(VLOOKUP(D185,Calcs!B:D,3,FALSE),"")</f>
        <v>Eye Bolt - Fixed</v>
      </c>
      <c r="C185" s="389"/>
      <c r="D185" s="466" t="s">
        <v>657</v>
      </c>
      <c r="E185" s="563"/>
      <c r="F185" s="391">
        <f>IF(Calcs!F187&gt;0,(VLOOKUP(D185,Calcs!B:G,5,FALSE)),0)</f>
        <v>12</v>
      </c>
      <c r="G185" s="243">
        <f>IFERROR(VLOOKUP(D185,Calcs!$B$183:$M$222,11,FALSE),0)</f>
        <v>20.59</v>
      </c>
      <c r="H185" s="243">
        <f>IFERROR(VLOOKUP(D185,Calcs!$B$183:$M$222,12,FALSE),0)</f>
        <v>247.07999999999998</v>
      </c>
    </row>
    <row r="186" spans="2:8">
      <c r="B186" s="35"/>
      <c r="C186" s="23"/>
      <c r="D186" s="23"/>
      <c r="E186" s="239"/>
      <c r="F186" s="250"/>
      <c r="G186" s="243"/>
      <c r="H186" s="251"/>
    </row>
    <row r="187" spans="2:8" ht="14.25" customHeight="1">
      <c r="B187" s="393" t="s">
        <v>405</v>
      </c>
      <c r="C187" s="394"/>
      <c r="D187" s="394"/>
      <c r="E187" s="395"/>
      <c r="F187" s="396" t="s">
        <v>978</v>
      </c>
      <c r="G187" s="244"/>
      <c r="H187" s="253">
        <f>SUM(H178:H186)</f>
        <v>2247.1499999999996</v>
      </c>
    </row>
    <row r="188" spans="2:8" ht="14.25" customHeight="1">
      <c r="B188" s="388"/>
      <c r="C188" s="389"/>
      <c r="D188" s="389"/>
      <c r="E188" s="390"/>
      <c r="F188" s="392" t="s">
        <v>979</v>
      </c>
      <c r="G188" s="413"/>
      <c r="H188" s="414"/>
    </row>
    <row r="189" spans="2:8" ht="14.25" customHeight="1">
      <c r="B189" s="411" t="s">
        <v>1137</v>
      </c>
      <c r="C189" s="398"/>
      <c r="D189" s="398"/>
      <c r="E189" s="399"/>
      <c r="F189" s="409">
        <v>1</v>
      </c>
      <c r="G189" s="415"/>
      <c r="H189" s="266"/>
    </row>
    <row r="190" spans="2:8" ht="14.25" customHeight="1">
      <c r="B190" s="388" t="s">
        <v>1138</v>
      </c>
      <c r="C190" s="389"/>
      <c r="D190" s="389" t="s">
        <v>1139</v>
      </c>
      <c r="E190" s="390"/>
      <c r="F190" s="392">
        <v>1</v>
      </c>
      <c r="G190" s="416"/>
      <c r="H190" s="269" cm="1">
        <f t="array" ref="H190">_xlfn.IFS(Discovery!B44="Cardinal",0,Discovery!B44="Prismatic",350,Discovery!B44="Prismatic-Other",Discovery!B45)</f>
        <v>0</v>
      </c>
    </row>
    <row r="191" spans="2:8" ht="14.25" customHeight="1">
      <c r="B191" s="388"/>
      <c r="C191" s="389"/>
      <c r="D191" s="389"/>
      <c r="E191" s="390"/>
      <c r="F191" s="392" t="s">
        <v>979</v>
      </c>
      <c r="G191" s="416"/>
      <c r="H191" s="265"/>
    </row>
    <row r="192" spans="2:8" ht="14.25" customHeight="1">
      <c r="B192" s="162"/>
      <c r="C192" s="40"/>
      <c r="D192" s="40"/>
      <c r="E192" s="242"/>
      <c r="F192" s="906" t="s">
        <v>960</v>
      </c>
      <c r="G192" s="906"/>
      <c r="H192" s="318">
        <f>H51+H118+H64+H187+H190+H164+H175</f>
        <v>10262.029999999999</v>
      </c>
    </row>
    <row r="193" spans="2:10" ht="14.25" customHeight="1">
      <c r="B193" s="31"/>
      <c r="C193" s="31"/>
      <c r="D193" s="31"/>
      <c r="E193" s="31"/>
      <c r="F193" s="819" t="s">
        <v>1039</v>
      </c>
      <c r="G193" s="819"/>
      <c r="H193" s="349">
        <f>Calcs!R19</f>
        <v>3666.3</v>
      </c>
    </row>
    <row r="194" spans="2:10" ht="14.25" customHeight="1">
      <c r="B194" s="31"/>
      <c r="C194" s="31"/>
      <c r="D194" s="31"/>
      <c r="E194" s="31"/>
      <c r="F194" s="960" t="str">
        <f>IFERROR(IF(Discovery!B10="Canada","CUSTOMS &amp; DUTIES FEE:",""),"")</f>
        <v/>
      </c>
      <c r="G194" s="960"/>
      <c r="H194" s="350" t="str">
        <f>IFERROR(IF(Discovery!B10="CANADA",Discovery!B14,""),"")</f>
        <v/>
      </c>
    </row>
    <row r="195" spans="2:10" ht="14.25" customHeight="1">
      <c r="E195" s="31"/>
      <c r="F195" s="956" t="str">
        <f>IFERROR(IF(Calcs!R19&gt;0.01,"DISCOUNT EXPIRATION:",""),"")</f>
        <v>DISCOUNT EXPIRATION:</v>
      </c>
      <c r="G195" s="956"/>
      <c r="H195" s="348">
        <f ca="1">IFERROR(IF(Calcs!R19&gt;0.01,(H9+6),""),"")</f>
        <v>46231</v>
      </c>
      <c r="I195" s="131"/>
    </row>
    <row r="196" spans="2:10" ht="14.25" customHeight="1">
      <c r="E196" s="31"/>
      <c r="F196" s="834" t="str">
        <f>IFERROR(IF(Discovery!B17="Yes","TRAVEL:",""),"")</f>
        <v/>
      </c>
      <c r="G196" s="834"/>
      <c r="H196" s="283">
        <f>IF(Discovery!B17="Yes",Discovery!B18,0)</f>
        <v>0</v>
      </c>
    </row>
    <row r="197" spans="2:10" ht="14.25" customHeight="1">
      <c r="B197" s="829" t="s">
        <v>1040</v>
      </c>
      <c r="C197" s="829"/>
      <c r="D197" s="829"/>
      <c r="E197" s="15"/>
      <c r="F197" s="909" t="s">
        <v>1041</v>
      </c>
      <c r="G197" s="909"/>
      <c r="H197" s="235" t="str">
        <f>IF(Discovery!B19="TBD","TBD",Discovery!B19*1.15)</f>
        <v>TBD</v>
      </c>
      <c r="J197" s="131"/>
    </row>
    <row r="198" spans="2:10" ht="14.25" customHeight="1">
      <c r="B198" s="829"/>
      <c r="C198" s="829"/>
      <c r="D198" s="829"/>
      <c r="E198" s="15"/>
      <c r="F198" s="909" t="s">
        <v>1042</v>
      </c>
      <c r="G198" s="909"/>
      <c r="H198" s="235">
        <f>IF(Discovery!B24="TBD","TBD",Discovery!B24*1.15)</f>
        <v>988.01099999999985</v>
      </c>
      <c r="J198" s="131"/>
    </row>
    <row r="199" spans="2:10" ht="14.25" customHeight="1">
      <c r="B199" s="829"/>
      <c r="C199" s="829"/>
      <c r="D199" s="829"/>
      <c r="E199" s="15"/>
      <c r="F199" s="830" t="s">
        <v>961</v>
      </c>
      <c r="G199" s="830"/>
      <c r="H199" s="235">
        <f>IF(Discovery!B25="TBD","TBD",Discovery!C25*1.15)</f>
        <v>338.18049999999994</v>
      </c>
    </row>
    <row r="200" spans="2:10" ht="14.25" customHeight="1">
      <c r="B200" s="829"/>
      <c r="C200" s="829"/>
      <c r="D200" s="829"/>
      <c r="E200" s="15"/>
      <c r="F200" s="827" t="s">
        <v>962</v>
      </c>
      <c r="G200" s="827"/>
      <c r="H200" s="319">
        <f>H192-H193+(IF(H199="TBD",0,H199))+H196+(IF(H197="TBD",0,H197))+(IF(H198="TBD",0,H198))</f>
        <v>7921.9214999999976</v>
      </c>
    </row>
    <row r="201" spans="2:10" ht="14.25" customHeight="1">
      <c r="B201" s="829"/>
      <c r="C201" s="829"/>
      <c r="D201" s="829"/>
      <c r="E201" s="15"/>
      <c r="F201" s="961" t="s">
        <v>1044</v>
      </c>
      <c r="G201" s="961"/>
      <c r="H201" s="336">
        <f>H200/2</f>
        <v>3960.9607499999988</v>
      </c>
    </row>
    <row r="202" spans="2:10" ht="14.25" customHeight="1">
      <c r="B202" s="15"/>
      <c r="C202" s="15"/>
      <c r="D202" s="15"/>
      <c r="E202" s="15"/>
      <c r="F202" s="156"/>
      <c r="G202" s="15"/>
      <c r="H202" s="15"/>
    </row>
    <row r="203" spans="2:10">
      <c r="B203" s="833" t="s">
        <v>964</v>
      </c>
      <c r="C203" s="833"/>
      <c r="D203" s="833"/>
      <c r="E203" s="833"/>
      <c r="F203" s="833"/>
      <c r="G203" s="833"/>
      <c r="H203" s="833"/>
    </row>
    <row r="204" spans="2:10" ht="14.25" customHeight="1">
      <c r="B204" s="833"/>
      <c r="C204" s="833"/>
      <c r="D204" s="833"/>
      <c r="E204" s="833"/>
      <c r="F204" s="833"/>
      <c r="G204" s="833"/>
      <c r="H204" s="833"/>
    </row>
    <row r="205" spans="2:10" ht="14.25" customHeight="1">
      <c r="B205" s="15"/>
      <c r="C205" s="15"/>
      <c r="D205" s="15"/>
      <c r="E205" s="15"/>
      <c r="F205" s="156"/>
      <c r="G205" s="15"/>
      <c r="H205" s="15"/>
    </row>
    <row r="206" spans="2:10" ht="14.25" customHeight="1">
      <c r="B206" s="281" t="s">
        <v>965</v>
      </c>
      <c r="C206" s="32"/>
      <c r="D206" s="32"/>
      <c r="E206" s="32"/>
      <c r="F206" s="158"/>
      <c r="G206" s="32"/>
      <c r="H206" s="32"/>
    </row>
    <row r="207" spans="2:10">
      <c r="C207" s="156"/>
      <c r="D207" s="156"/>
      <c r="E207" s="156"/>
      <c r="F207" s="156"/>
      <c r="G207" s="156"/>
      <c r="H207" s="156"/>
      <c r="J207" s="131"/>
    </row>
    <row r="208" spans="2:10">
      <c r="B208" s="281"/>
      <c r="C208" s="156"/>
      <c r="D208" s="156"/>
      <c r="E208" s="156"/>
      <c r="F208" s="156"/>
      <c r="G208" s="156"/>
      <c r="H208" s="156"/>
      <c r="J208" s="131"/>
    </row>
    <row r="209" spans="2:8">
      <c r="B209" s="281"/>
      <c r="C209" s="156"/>
      <c r="D209" s="156"/>
      <c r="E209" s="156"/>
      <c r="F209" s="156"/>
      <c r="G209" s="156"/>
      <c r="H209" s="156"/>
    </row>
    <row r="210" spans="2:8" ht="14.25" customHeight="1">
      <c r="B210" s="337"/>
      <c r="C210" s="337"/>
      <c r="D210" s="337"/>
      <c r="E210" s="337"/>
      <c r="F210" s="826"/>
      <c r="G210" s="826"/>
      <c r="H210" s="826"/>
    </row>
    <row r="211" spans="2:8" s="46" customFormat="1" ht="14.25" customHeight="1">
      <c r="B211" s="613" t="s">
        <v>966</v>
      </c>
      <c r="D211" s="614" t="s">
        <v>967</v>
      </c>
      <c r="E211" s="615"/>
      <c r="F211" s="279"/>
      <c r="G211" s="832" t="s">
        <v>968</v>
      </c>
      <c r="H211" s="832"/>
    </row>
    <row r="212" spans="2:8" ht="14.25" customHeight="1">
      <c r="B212" s="156"/>
      <c r="C212" s="156"/>
      <c r="D212" s="156"/>
      <c r="E212" s="156"/>
      <c r="F212" s="156"/>
      <c r="G212" s="156"/>
      <c r="H212" s="156"/>
    </row>
    <row r="213" spans="2:8" ht="14.45" customHeight="1">
      <c r="B213" s="825" t="s">
        <v>969</v>
      </c>
      <c r="C213" s="825"/>
      <c r="D213" s="825"/>
      <c r="E213" s="825"/>
      <c r="F213" s="825"/>
      <c r="G213" s="825"/>
      <c r="H213" s="825"/>
    </row>
    <row r="214" spans="2:8" ht="14.25" customHeight="1">
      <c r="B214" s="141"/>
      <c r="C214" s="141"/>
      <c r="D214" s="141"/>
      <c r="E214" s="141"/>
      <c r="G214" s="141"/>
      <c r="H214" s="141"/>
    </row>
    <row r="215" spans="2:8" ht="14.25" customHeight="1">
      <c r="B215" s="141"/>
      <c r="C215" s="141"/>
      <c r="D215" s="141"/>
      <c r="E215" s="141"/>
      <c r="G215" s="141"/>
      <c r="H215" s="141"/>
    </row>
    <row r="216" spans="2:8" ht="14.25" customHeight="1"/>
    <row r="217" spans="2:8" ht="14.25" customHeight="1"/>
    <row r="218" spans="2:8" ht="14.25" customHeight="1"/>
    <row r="219" spans="2:8" ht="14.25" customHeight="1"/>
    <row r="220" spans="2:8" ht="14.25" customHeight="1"/>
    <row r="221" spans="2:8" ht="14.25" customHeight="1">
      <c r="B221" t="s">
        <v>1396</v>
      </c>
    </row>
    <row r="224" spans="2:8" ht="32.25" customHeight="1"/>
    <row r="225" spans="9:9" ht="15" customHeight="1">
      <c r="I225" s="141"/>
    </row>
    <row r="226" spans="9:9" ht="15" customHeight="1">
      <c r="I226" s="141"/>
    </row>
    <row r="227" spans="9:9" ht="15" customHeight="1">
      <c r="I227" s="141"/>
    </row>
    <row r="228" spans="9:9" ht="15" customHeight="1">
      <c r="I228" s="141"/>
    </row>
    <row r="229" spans="9:9" ht="15" customHeight="1">
      <c r="I229" s="141"/>
    </row>
  </sheetData>
  <mergeCells count="24">
    <mergeCell ref="B203:H204"/>
    <mergeCell ref="F210:H210"/>
    <mergeCell ref="G211:H211"/>
    <mergeCell ref="B213:H213"/>
    <mergeCell ref="F196:G196"/>
    <mergeCell ref="B197:D201"/>
    <mergeCell ref="F197:G197"/>
    <mergeCell ref="F198:G198"/>
    <mergeCell ref="F199:G199"/>
    <mergeCell ref="F200:G200"/>
    <mergeCell ref="F201:G201"/>
    <mergeCell ref="J13:K13"/>
    <mergeCell ref="F195:G195"/>
    <mergeCell ref="B19:H19"/>
    <mergeCell ref="F8:G8"/>
    <mergeCell ref="F9:G9"/>
    <mergeCell ref="F10:G10"/>
    <mergeCell ref="F11:G11"/>
    <mergeCell ref="F12:G12"/>
    <mergeCell ref="B15:H15"/>
    <mergeCell ref="B16:H17"/>
    <mergeCell ref="F192:G192"/>
    <mergeCell ref="F193:G193"/>
    <mergeCell ref="F194:G194"/>
  </mergeCells>
  <conditionalFormatting sqref="H193">
    <cfRule type="cellIs" dxfId="6" priority="6" operator="greaterThan">
      <formula>1</formula>
    </cfRule>
  </conditionalFormatting>
  <conditionalFormatting sqref="F193">
    <cfRule type="expression" dxfId="5" priority="5">
      <formula>$H$193&gt;1</formula>
    </cfRule>
  </conditionalFormatting>
  <conditionalFormatting sqref="H195">
    <cfRule type="cellIs" dxfId="4" priority="4" operator="greaterThan">
      <formula>0.01</formula>
    </cfRule>
  </conditionalFormatting>
  <conditionalFormatting sqref="F195:G195">
    <cfRule type="cellIs" dxfId="3" priority="3" operator="greaterThan">
      <formula>0.01</formula>
    </cfRule>
  </conditionalFormatting>
  <conditionalFormatting sqref="F8:G8">
    <cfRule type="containsText" dxfId="2" priority="2" operator="containsText" text="Invoice">
      <formula>NOT(ISERROR(SEARCH("Invoice",F8)))</formula>
    </cfRule>
  </conditionalFormatting>
  <conditionalFormatting sqref="D112:D117 D69:D70 D76:D105 D74 D72">
    <cfRule type="duplicateValues" dxfId="1" priority="7"/>
  </conditionalFormatting>
  <conditionalFormatting sqref="D109:D110">
    <cfRule type="duplicateValues" dxfId="0" priority="1"/>
  </conditionalFormatting>
  <printOptions horizontalCentered="1"/>
  <pageMargins left="0.25" right="0.25" top="0.75" bottom="0.75" header="0.3" footer="0.3"/>
  <pageSetup scale="28" orientation="portrait" horizontalDpi="4294967293" verticalDpi="429496729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97F2-DCA2-49CD-A658-69A10343DD34}">
  <dimension ref="A2:B23"/>
  <sheetViews>
    <sheetView workbookViewId="0">
      <selection activeCell="B18" sqref="B18"/>
    </sheetView>
  </sheetViews>
  <sheetFormatPr defaultRowHeight="15"/>
  <cols>
    <col min="1" max="1" width="24" style="659" bestFit="1" customWidth="1"/>
    <col min="2" max="2" width="33.5703125" style="660" bestFit="1" customWidth="1"/>
  </cols>
  <sheetData>
    <row r="2" spans="1:2">
      <c r="A2" s="659" t="str">
        <f>Discovery!A3</f>
        <v>Organization Name:</v>
      </c>
      <c r="B2" s="660" t="str">
        <f>Discovery!B3</f>
        <v>Soar Autism Center - South Fort Collins</v>
      </c>
    </row>
    <row r="3" spans="1:2">
      <c r="A3" s="659" t="str">
        <f>Discovery!A4</f>
        <v>Organization Address:</v>
      </c>
      <c r="B3" s="660" t="str">
        <f>Discovery!B4</f>
        <v>3801 Automation Way</v>
      </c>
    </row>
    <row r="4" spans="1:2">
      <c r="A4" s="659" t="str">
        <f>Discovery!A5</f>
        <v>Organization City &amp; State:</v>
      </c>
      <c r="B4" s="660" t="str">
        <f>Discovery!B5</f>
        <v>Fort Collins, CO</v>
      </c>
    </row>
    <row r="5" spans="1:2">
      <c r="A5" s="659" t="str">
        <f>Discovery!A6</f>
        <v>Organization Zip Code:</v>
      </c>
      <c r="B5" s="660">
        <f>Discovery!B6</f>
        <v>80525</v>
      </c>
    </row>
    <row r="6" spans="1:2">
      <c r="A6" s="659" t="str">
        <f>Discovery!A7</f>
        <v>Ship to Address:</v>
      </c>
      <c r="B6" s="660" t="str">
        <f>Discovery!B7</f>
        <v>3801 Automation Way</v>
      </c>
    </row>
    <row r="7" spans="1:2">
      <c r="A7" s="659" t="str">
        <f>Discovery!A8</f>
        <v>Ship to City &amp; State:</v>
      </c>
      <c r="B7" s="660" t="str">
        <f>Discovery!B8</f>
        <v>Fort Collins, CO</v>
      </c>
    </row>
    <row r="8" spans="1:2">
      <c r="A8" s="659" t="str">
        <f>Discovery!A9</f>
        <v>Ship to Zip Code:</v>
      </c>
      <c r="B8" s="660">
        <f>Discovery!B9</f>
        <v>80525</v>
      </c>
    </row>
    <row r="9" spans="1:2">
      <c r="A9" s="659" t="str">
        <f>Discovery!A10</f>
        <v>Country:</v>
      </c>
      <c r="B9" s="660" t="str">
        <f>Discovery!B10</f>
        <v>United States</v>
      </c>
    </row>
    <row r="10" spans="1:2">
      <c r="A10" s="659" t="str">
        <f>Discovery!A11</f>
        <v>Phone:</v>
      </c>
      <c r="B10" s="660" t="str">
        <f>Discovery!B11</f>
        <v>5203895979</v>
      </c>
    </row>
    <row r="11" spans="1:2">
      <c r="A11" s="659" t="str">
        <f>Discovery!A12</f>
        <v>Email Address:</v>
      </c>
      <c r="B11" s="660" t="str">
        <f>Discovery!B12</f>
        <v/>
      </c>
    </row>
    <row r="15" spans="1:2">
      <c r="A15" s="661" t="s">
        <v>1397</v>
      </c>
      <c r="B15" s="662"/>
    </row>
    <row r="16" spans="1:2">
      <c r="A16" s="659" t="s">
        <v>1398</v>
      </c>
      <c r="B16" s="666" t="s">
        <v>1399</v>
      </c>
    </row>
    <row r="17" spans="1:2">
      <c r="A17" s="659" t="s">
        <v>1400</v>
      </c>
      <c r="B17" s="667">
        <v>5460</v>
      </c>
    </row>
    <row r="19" spans="1:2">
      <c r="A19" s="661" t="s">
        <v>1401</v>
      </c>
      <c r="B19" s="662"/>
    </row>
    <row r="20" spans="1:2">
      <c r="A20" s="659" t="s">
        <v>1402</v>
      </c>
      <c r="B20" s="665">
        <v>1.1499999999999999</v>
      </c>
    </row>
    <row r="21" spans="1:2">
      <c r="A21" s="659" t="s">
        <v>1400</v>
      </c>
      <c r="B21" s="663">
        <f>B17*B20</f>
        <v>6278.9999999999991</v>
      </c>
    </row>
    <row r="23" spans="1:2">
      <c r="A23" s="659" t="s">
        <v>1403</v>
      </c>
      <c r="B23" s="664">
        <f>B21-B17</f>
        <v>818.99999999999909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db6aed-ace7-4f16-b3b6-afe14a9dd47c" xsi:nil="true"/>
    <lcf76f155ced4ddcb4097134ff3c332f xmlns="7269c601-a0ba-4d31-995e-a2feb8ec9ab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6FB63F59D7194DA7675B5070BBE1AA" ma:contentTypeVersion="15" ma:contentTypeDescription="Create a new document." ma:contentTypeScope="" ma:versionID="3deeb7ae9ce629c2e34f5e9c6aa54e4a">
  <xsd:schema xmlns:xsd="http://www.w3.org/2001/XMLSchema" xmlns:xs="http://www.w3.org/2001/XMLSchema" xmlns:p="http://schemas.microsoft.com/office/2006/metadata/properties" xmlns:ns2="7269c601-a0ba-4d31-995e-a2feb8ec9ab7" xmlns:ns3="1cdb6aed-ace7-4f16-b3b6-afe14a9dd47c" targetNamespace="http://schemas.microsoft.com/office/2006/metadata/properties" ma:root="true" ma:fieldsID="4f0f7200612f8c407f8b4cc169b8e32b" ns2:_="" ns3:_="">
    <xsd:import namespace="7269c601-a0ba-4d31-995e-a2feb8ec9ab7"/>
    <xsd:import namespace="1cdb6aed-ace7-4f16-b3b6-afe14a9dd4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9c601-a0ba-4d31-995e-a2feb8ec9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2c6ad5-4024-454b-976a-49402ecf8c4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db6aed-ace7-4f16-b3b6-afe14a9dd47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dbfe21d-ef95-4eb1-89c7-c3d523b601d7}" ma:internalName="TaxCatchAll" ma:showField="CatchAllData" ma:web="1cdb6aed-ace7-4f16-b3b6-afe14a9dd47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55275B-D317-43AD-8771-FB89D2665E00}">
  <ds:schemaRefs>
    <ds:schemaRef ds:uri="7269c601-a0ba-4d31-995e-a2feb8ec9ab7"/>
    <ds:schemaRef ds:uri="http://schemas.microsoft.com/office/2006/metadata/properties"/>
    <ds:schemaRef ds:uri="1cdb6aed-ace7-4f16-b3b6-afe14a9dd47c"/>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A82CEEAC-356D-4AAF-BB01-5C91A7EEC37F}">
  <ds:schemaRefs>
    <ds:schemaRef ds:uri="http://schemas.microsoft.com/sharepoint/v3/contenttype/forms"/>
  </ds:schemaRefs>
</ds:datastoreItem>
</file>

<file path=customXml/itemProps3.xml><?xml version="1.0" encoding="utf-8"?>
<ds:datastoreItem xmlns:ds="http://schemas.openxmlformats.org/officeDocument/2006/customXml" ds:itemID="{31442C90-D1CD-46A1-99EB-B508F979E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9c601-a0ba-4d31-995e-a2feb8ec9ab7"/>
    <ds:schemaRef ds:uri="1cdb6aed-ace7-4f16-b3b6-afe14a9dd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Discovery</vt:lpstr>
      <vt:lpstr>VLOOKUP</vt:lpstr>
      <vt:lpstr>Calcs</vt:lpstr>
      <vt:lpstr>Goldberg Order Details</vt:lpstr>
      <vt:lpstr>Sensory Space Proposal</vt:lpstr>
      <vt:lpstr>Adventure Series Proposal (USA)</vt:lpstr>
      <vt:lpstr>LOAN CALC - INCLUDE</vt:lpstr>
      <vt:lpstr>Adventure Series Proposal (CAN)</vt:lpstr>
      <vt:lpstr>Summit Flex Proposal</vt:lpstr>
      <vt:lpstr>Flex Pro-Pack</vt:lpstr>
      <vt:lpstr>VLOOKUP - Soar</vt:lpstr>
      <vt:lpstr>Summit Soar Proposal</vt:lpstr>
      <vt:lpstr>Summit Scape Proposal</vt:lpstr>
      <vt:lpstr>TrolleyPO</vt:lpstr>
      <vt:lpstr>lists</vt:lpstr>
      <vt:lpstr>ZAPIER</vt:lpstr>
      <vt:lpstr>Estimated Dates</vt:lpstr>
      <vt:lpstr>Payment Schedule</vt:lpstr>
      <vt:lpstr>Resilite Mat Cost List</vt:lpstr>
      <vt:lpstr>Travel Proposal</vt:lpstr>
      <vt:lpstr>Outsourced Install Calc</vt:lpstr>
      <vt:lpstr>Fabricator</vt:lpstr>
      <vt:lpstr>Gym_Package</vt:lpstr>
      <vt:lpstr>Gym_Shape</vt:lpstr>
      <vt:lpstr>Gym_Type</vt:lpstr>
      <vt:lpstr>'Adventure Series Proposal (CAN)'!Print_Area</vt:lpstr>
      <vt:lpstr>'Adventure Series Proposal (USA)'!Print_Area</vt:lpstr>
      <vt:lpstr>'Flex Pro-Pack'!Print_Area</vt:lpstr>
      <vt:lpstr>'Sensory Space Proposal'!Print_Area</vt:lpstr>
      <vt:lpstr>'Summit Flex Proposal'!Print_Area</vt:lpstr>
      <vt:lpstr>'Summit Scape Proposal'!Print_Area</vt:lpstr>
      <vt:lpstr>'Summit Soar Proposal'!Print_Area</vt:lpstr>
      <vt:lpstr>'Travel Proposal'!Print_Area</vt:lpstr>
      <vt:lpstr>Shields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Maurer</dc:creator>
  <cp:keywords/>
  <dc:description/>
  <cp:lastModifiedBy>Bryan Shepherd, MBA</cp:lastModifiedBy>
  <cp:revision/>
  <cp:lastPrinted>2026-07-16T20:15:24Z</cp:lastPrinted>
  <dcterms:created xsi:type="dcterms:W3CDTF">2021-04-27T02:10:29Z</dcterms:created>
  <dcterms:modified xsi:type="dcterms:W3CDTF">2026-07-22T23:04:44Z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0x010100546FB63F59D7194DA7675B5070BBE1AA</vt:lpwstr>
  </property>
  <property fmtid="{D5CDD505-2E9C-101B-9397-08002B2CF9AE}" pid="3" name="MediaServiceImageTags">
    <vt:lpwstr/>
  </property>
</Properties>
</file>